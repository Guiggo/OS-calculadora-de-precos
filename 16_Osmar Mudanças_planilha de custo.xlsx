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G:\Drives compartilhados\ECONOMIA\Economia_excel\Consultas\2026\4.Abril\"/>
    </mc:Choice>
  </mc:AlternateContent>
  <workbookProtection workbookAlgorithmName="SHA-512" workbookHashValue="yc16i704V/U9S3HcxkwGH3A0Dr8VFgtvObKBEXjzn/otqLhRacPt3I/J4XFruOMk8+gESwjY7HX8dG4qzGV/MQ==" workbookSaltValue="Nwt1+zrSlHdon3O6YMrcvg==" workbookSpinCount="100000" lockStructure="1"/>
  <bookViews>
    <workbookView xWindow="-105" yWindow="-105" windowWidth="23250" windowHeight="12450" tabRatio="908"/>
  </bookViews>
  <sheets>
    <sheet name="TABELA DIRETA" sheetId="6" r:id="rId1"/>
    <sheet name="TABELA APROVEITAMENTO" sheetId="22" r:id="rId2"/>
    <sheet name="GENERALIDADES" sheetId="24" r:id="rId3"/>
    <sheet name="EMBALAGEM" sheetId="5" r:id="rId4"/>
    <sheet name="TX E MARKUP" sheetId="18" r:id="rId5"/>
    <sheet name="FROTA" sheetId="1" state="hidden" r:id="rId6"/>
    <sheet name="RECURSOS" sheetId="7" state="hidden" r:id="rId7"/>
    <sheet name="FOLHA DE PAGAMENTO" sheetId="23" r:id="rId8"/>
    <sheet name="EQUIPE DE ENTREGA" sheetId="16" r:id="rId9"/>
    <sheet name="LOCAL_EQUIPE" sheetId="11" r:id="rId10"/>
    <sheet name="LOCAL_VEÍCULO" sheetId="12" r:id="rId11"/>
    <sheet name="INTER_EQUIPE" sheetId="10" r:id="rId12"/>
    <sheet name="INTER_VEÍCULO" sheetId="13" r:id="rId13"/>
    <sheet name="CUSTO KM_VEÍCULO" sheetId="17" state="hidden" r:id="rId14"/>
    <sheet name="HORA PARADA_VEÍCULO" sheetId="14" state="hidden" r:id="rId15"/>
    <sheet name="ENTREGA" sheetId="15" state="hidden" r:id="rId16"/>
  </sheets>
  <definedNames>
    <definedName name="_xlnm.Print_Area" localSheetId="3">EMBALAGEM!$B$4:$P$21</definedName>
    <definedName name="_xlnm.Print_Area" localSheetId="1">'TABELA APROVEITAMENTO'!$B$2:$I$41</definedName>
    <definedName name="_xlnm.Print_Area" localSheetId="0">'TABELA DIRETA'!$B$3:$Q$42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11" l="1"/>
  <c r="D4" i="16" l="1"/>
  <c r="G42" i="1" l="1"/>
  <c r="G34" i="1"/>
  <c r="G5" i="1"/>
  <c r="F5" i="5" l="1"/>
  <c r="E24" i="23" l="1"/>
  <c r="D24" i="23"/>
  <c r="C24" i="23"/>
  <c r="E17" i="23"/>
  <c r="E18" i="23" s="1"/>
  <c r="D17" i="23"/>
  <c r="D19" i="23" s="1"/>
  <c r="C17" i="23"/>
  <c r="C20" i="23" s="1"/>
  <c r="E13" i="23"/>
  <c r="D13" i="23"/>
  <c r="C13" i="23"/>
  <c r="E10" i="23"/>
  <c r="E11" i="23" s="1"/>
  <c r="D10" i="23"/>
  <c r="D11" i="23" s="1"/>
  <c r="C10" i="23"/>
  <c r="C11" i="23" s="1"/>
  <c r="C8" i="23"/>
  <c r="C16" i="23" s="1"/>
  <c r="E8" i="23"/>
  <c r="E15" i="23" s="1"/>
  <c r="D8" i="23"/>
  <c r="D15" i="23" s="1"/>
  <c r="D2" i="23"/>
  <c r="D7" i="16"/>
  <c r="F6" i="5"/>
  <c r="D18" i="23" l="1"/>
  <c r="D20" i="23"/>
  <c r="D21" i="23" s="1"/>
  <c r="C15" i="23"/>
  <c r="D16" i="23"/>
  <c r="C19" i="23"/>
  <c r="E16" i="23"/>
  <c r="C21" i="23"/>
  <c r="C22" i="23"/>
  <c r="C25" i="23" s="1"/>
  <c r="C18" i="23"/>
  <c r="E20" i="23"/>
  <c r="E19" i="23"/>
  <c r="D22" i="23"/>
  <c r="C26" i="23" l="1"/>
  <c r="C27" i="23" s="1"/>
  <c r="D25" i="23"/>
  <c r="D26" i="23" s="1"/>
  <c r="D27" i="23" s="1"/>
  <c r="E22" i="23"/>
  <c r="E25" i="23" s="1"/>
  <c r="E21" i="23"/>
  <c r="E26" i="23" l="1"/>
  <c r="E27" i="23" s="1"/>
  <c r="D9" i="16" l="1"/>
  <c r="O3" i="15" s="1"/>
  <c r="D8" i="16"/>
  <c r="M3" i="15" s="1"/>
  <c r="K3" i="15"/>
  <c r="D6" i="16"/>
  <c r="I3" i="15" s="1"/>
  <c r="D5" i="16"/>
  <c r="G3" i="15" s="1"/>
  <c r="E3" i="15"/>
  <c r="D4" i="23"/>
  <c r="K4" i="23" s="1"/>
  <c r="D3" i="23"/>
  <c r="L3" i="23" s="1"/>
  <c r="L2" i="23"/>
  <c r="K2" i="23" l="1"/>
  <c r="K3" i="23"/>
  <c r="L4" i="23"/>
  <c r="D31" i="1"/>
  <c r="D10" i="1" l="1"/>
  <c r="C13" i="18"/>
  <c r="D6" i="1"/>
  <c r="T4" i="23"/>
  <c r="M4" i="23"/>
  <c r="P4" i="23" s="1"/>
  <c r="I4" i="23"/>
  <c r="F4" i="23"/>
  <c r="T3" i="23"/>
  <c r="M3" i="23"/>
  <c r="P3" i="23" s="1"/>
  <c r="I3" i="23"/>
  <c r="F3" i="23"/>
  <c r="T2" i="23"/>
  <c r="M2" i="23"/>
  <c r="P2" i="23" s="1"/>
  <c r="I2" i="23"/>
  <c r="F2" i="23"/>
  <c r="G2" i="23" s="1"/>
  <c r="G4" i="23" l="1"/>
  <c r="G3" i="23"/>
  <c r="O2" i="23"/>
  <c r="N2" i="23"/>
  <c r="R3" i="23"/>
  <c r="Q3" i="23"/>
  <c r="O4" i="23"/>
  <c r="N3" i="23"/>
  <c r="O3" i="23"/>
  <c r="U3" i="23" s="1"/>
  <c r="N4" i="23"/>
  <c r="R2" i="23"/>
  <c r="Q2" i="23"/>
  <c r="R4" i="23"/>
  <c r="Q4" i="23"/>
  <c r="V3" i="23" l="1"/>
  <c r="W3" i="23" s="1"/>
  <c r="B7" i="7" s="1"/>
  <c r="U4" i="23"/>
  <c r="U2" i="23"/>
  <c r="V2" i="23" s="1"/>
  <c r="W2" i="23" s="1"/>
  <c r="B6" i="7" s="1"/>
  <c r="V4" i="23"/>
  <c r="W4" i="23" s="1"/>
  <c r="B8" i="7" l="1"/>
  <c r="G41" i="1" s="1"/>
  <c r="J9" i="22"/>
  <c r="J10" i="22"/>
  <c r="J11" i="22"/>
  <c r="J12" i="22"/>
  <c r="J13" i="22"/>
  <c r="J14" i="22"/>
  <c r="J15" i="22"/>
  <c r="J16" i="22"/>
  <c r="J17" i="22"/>
  <c r="J18" i="22"/>
  <c r="J19" i="22"/>
  <c r="J20" i="22"/>
  <c r="J21" i="22"/>
  <c r="J22" i="22"/>
  <c r="J23" i="22"/>
  <c r="J24" i="22"/>
  <c r="J25" i="22"/>
  <c r="J26" i="22"/>
  <c r="J27" i="22"/>
  <c r="J28" i="22"/>
  <c r="J29" i="22"/>
  <c r="J30" i="22"/>
  <c r="J31" i="22"/>
  <c r="J32" i="22"/>
  <c r="J33" i="22"/>
  <c r="J34" i="22"/>
  <c r="J35" i="22"/>
  <c r="J36" i="22"/>
  <c r="J37" i="22"/>
  <c r="J38" i="22"/>
  <c r="J8" i="22"/>
  <c r="P20" i="5"/>
  <c r="P19" i="5"/>
  <c r="P18" i="5"/>
  <c r="P17" i="5"/>
  <c r="P16" i="5"/>
  <c r="P15" i="5"/>
  <c r="P14" i="5"/>
  <c r="P13" i="5"/>
  <c r="P12" i="5"/>
  <c r="P11" i="5"/>
  <c r="P10" i="5"/>
  <c r="P9" i="5"/>
  <c r="P8" i="5"/>
  <c r="P7" i="5"/>
  <c r="P6" i="5"/>
  <c r="P5" i="5"/>
  <c r="N20" i="5"/>
  <c r="N19" i="5"/>
  <c r="N18" i="5"/>
  <c r="N17" i="5"/>
  <c r="N16" i="5"/>
  <c r="N15" i="5"/>
  <c r="N14" i="5"/>
  <c r="N13" i="5"/>
  <c r="N12" i="5"/>
  <c r="N11" i="5"/>
  <c r="N10" i="5"/>
  <c r="N9" i="5"/>
  <c r="N8" i="5"/>
  <c r="N7" i="5"/>
  <c r="N6" i="5"/>
  <c r="N5" i="5"/>
  <c r="L20" i="5"/>
  <c r="L19" i="5"/>
  <c r="L18" i="5"/>
  <c r="L17" i="5"/>
  <c r="L16" i="5"/>
  <c r="L15" i="5"/>
  <c r="L14" i="5"/>
  <c r="L13" i="5"/>
  <c r="L12" i="5"/>
  <c r="L11" i="5"/>
  <c r="L10" i="5"/>
  <c r="L9" i="5"/>
  <c r="L8" i="5"/>
  <c r="L7" i="5"/>
  <c r="L6" i="5"/>
  <c r="L5" i="5"/>
  <c r="J20" i="5"/>
  <c r="J19" i="5"/>
  <c r="J18" i="5"/>
  <c r="J17" i="5"/>
  <c r="J16" i="5"/>
  <c r="J15" i="5"/>
  <c r="J14" i="5"/>
  <c r="J13" i="5"/>
  <c r="J12" i="5"/>
  <c r="J11" i="5"/>
  <c r="J10" i="5"/>
  <c r="J9" i="5"/>
  <c r="J8" i="5"/>
  <c r="J7" i="5"/>
  <c r="J6" i="5"/>
  <c r="J5" i="5"/>
  <c r="H20" i="5"/>
  <c r="H19" i="5"/>
  <c r="H18" i="5"/>
  <c r="H17" i="5"/>
  <c r="H16" i="5"/>
  <c r="H15" i="5"/>
  <c r="H14" i="5"/>
  <c r="H13" i="5"/>
  <c r="H12" i="5"/>
  <c r="H11" i="5"/>
  <c r="H10" i="5"/>
  <c r="H9" i="5"/>
  <c r="H8" i="5"/>
  <c r="H7" i="5"/>
  <c r="H6" i="5"/>
  <c r="H5" i="5"/>
  <c r="F20" i="5"/>
  <c r="F19" i="5"/>
  <c r="F18" i="5"/>
  <c r="F17" i="5"/>
  <c r="F16" i="5"/>
  <c r="F15" i="5"/>
  <c r="F14" i="5"/>
  <c r="F13" i="5"/>
  <c r="F12" i="5"/>
  <c r="F11" i="5"/>
  <c r="F10" i="5"/>
  <c r="F9" i="5"/>
  <c r="F8" i="5"/>
  <c r="F7" i="5"/>
  <c r="D24" i="1"/>
  <c r="D20" i="1"/>
  <c r="D19" i="1"/>
  <c r="G8" i="1"/>
  <c r="D9" i="1"/>
  <c r="D16" i="1"/>
  <c r="F21" i="5" l="1"/>
  <c r="G29" i="1"/>
  <c r="C10" i="18" l="1"/>
  <c r="G6" i="1"/>
  <c r="G7" i="1"/>
  <c r="G9" i="1"/>
  <c r="G10" i="1"/>
  <c r="E20" i="1"/>
  <c r="E19" i="1"/>
  <c r="E18" i="1"/>
  <c r="G30" i="1"/>
  <c r="D28" i="1"/>
  <c r="D27" i="1"/>
  <c r="D26" i="1"/>
  <c r="D25" i="1"/>
  <c r="D23" i="1"/>
  <c r="G23" i="1" s="1"/>
  <c r="C14" i="18" l="1"/>
  <c r="C16" i="18" s="1"/>
  <c r="C15" i="18"/>
  <c r="C17" i="18" s="1"/>
  <c r="O4" i="15"/>
  <c r="M4" i="15"/>
  <c r="K4" i="15"/>
  <c r="I4" i="15"/>
  <c r="G4" i="15"/>
  <c r="E4" i="15"/>
  <c r="G39" i="1"/>
  <c r="G38" i="1"/>
  <c r="G37" i="1"/>
  <c r="G36" i="1"/>
  <c r="G35" i="1"/>
  <c r="G31" i="1"/>
  <c r="G44" i="1" s="1"/>
  <c r="G28" i="1"/>
  <c r="G20" i="1"/>
  <c r="G19" i="1"/>
  <c r="G18" i="1"/>
  <c r="G17" i="1"/>
  <c r="G16" i="1"/>
  <c r="G15" i="1"/>
  <c r="G51" i="1" s="1"/>
  <c r="G27" i="1"/>
  <c r="G26" i="1"/>
  <c r="G25" i="1"/>
  <c r="G24" i="1"/>
  <c r="G49" i="1" l="1"/>
  <c r="G52" i="1"/>
  <c r="G54" i="1"/>
  <c r="U7" i="6"/>
  <c r="M7" i="22"/>
  <c r="G56" i="1"/>
  <c r="I3" i="17"/>
  <c r="G55" i="1"/>
  <c r="M7" i="17" s="1"/>
  <c r="G53" i="1"/>
  <c r="P21" i="5"/>
  <c r="J21" i="5"/>
  <c r="L21" i="5"/>
  <c r="H21" i="5"/>
  <c r="N21" i="5"/>
  <c r="G4" i="17"/>
  <c r="G6" i="17"/>
  <c r="U9" i="6" l="1"/>
  <c r="M8" i="17"/>
  <c r="G8" i="17"/>
  <c r="I5" i="17"/>
  <c r="M5" i="17"/>
  <c r="K4" i="17"/>
  <c r="M4" i="17"/>
  <c r="E4" i="17"/>
  <c r="O4" i="17"/>
  <c r="I4" i="17"/>
  <c r="I8" i="17"/>
  <c r="K8" i="17"/>
  <c r="E6" i="17"/>
  <c r="E7" i="17"/>
  <c r="G3" i="17"/>
  <c r="E8" i="17"/>
  <c r="K3" i="17"/>
  <c r="E3" i="17"/>
  <c r="M3" i="17"/>
  <c r="O8" i="17"/>
  <c r="O3" i="17"/>
  <c r="O7" i="17"/>
  <c r="G7" i="17"/>
  <c r="K7" i="17"/>
  <c r="I7" i="17"/>
  <c r="M6" i="17"/>
  <c r="I6" i="17"/>
  <c r="K6" i="17"/>
  <c r="O6" i="17"/>
  <c r="O5" i="17"/>
  <c r="K5" i="17"/>
  <c r="G5" i="17"/>
  <c r="E5" i="17"/>
  <c r="I9" i="17" l="1"/>
  <c r="M9" i="17"/>
  <c r="E9" i="17"/>
  <c r="G9" i="17"/>
  <c r="O9" i="17"/>
  <c r="K9" i="17"/>
  <c r="O4" i="10" l="1"/>
  <c r="K12" i="10"/>
  <c r="I10" i="10"/>
  <c r="G8" i="10"/>
  <c r="E10" i="10"/>
  <c r="M14" i="11"/>
  <c r="M4" i="11"/>
  <c r="G10" i="11"/>
  <c r="O10" i="11"/>
  <c r="M6" i="11"/>
  <c r="I12" i="10"/>
  <c r="O16" i="11"/>
  <c r="M12" i="10"/>
  <c r="K10" i="10"/>
  <c r="I8" i="10"/>
  <c r="G6" i="10"/>
  <c r="E12" i="10"/>
  <c r="M20" i="11"/>
  <c r="M12" i="11"/>
  <c r="M16" i="11"/>
  <c r="M18" i="11"/>
  <c r="M8" i="11"/>
  <c r="O18" i="11"/>
  <c r="O20" i="11"/>
  <c r="K16" i="11"/>
  <c r="O14" i="11"/>
  <c r="O12" i="11"/>
  <c r="O8" i="11"/>
  <c r="O6" i="11"/>
  <c r="O4" i="11"/>
  <c r="O12" i="10"/>
  <c r="M10" i="10"/>
  <c r="K8" i="10"/>
  <c r="I6" i="10"/>
  <c r="G4" i="10"/>
  <c r="I16" i="11"/>
  <c r="K18" i="11"/>
  <c r="K20" i="11"/>
  <c r="G16" i="11"/>
  <c r="K14" i="11"/>
  <c r="K12" i="11"/>
  <c r="K8" i="11"/>
  <c r="K6" i="11"/>
  <c r="K4" i="11"/>
  <c r="O10" i="10"/>
  <c r="M8" i="10"/>
  <c r="K6" i="10"/>
  <c r="I4" i="10"/>
  <c r="E4" i="10"/>
  <c r="I18" i="11"/>
  <c r="I20" i="11"/>
  <c r="M10" i="11"/>
  <c r="E16" i="11"/>
  <c r="I14" i="11"/>
  <c r="I12" i="11"/>
  <c r="I8" i="11"/>
  <c r="I6" i="11"/>
  <c r="I4" i="11"/>
  <c r="G10" i="10"/>
  <c r="G18" i="11"/>
  <c r="G20" i="11"/>
  <c r="G14" i="11"/>
  <c r="G12" i="11"/>
  <c r="G8" i="11"/>
  <c r="G6" i="11"/>
  <c r="G4" i="11"/>
  <c r="O8" i="10"/>
  <c r="M6" i="10"/>
  <c r="K4" i="10"/>
  <c r="G12" i="10"/>
  <c r="E6" i="10"/>
  <c r="E8" i="10"/>
  <c r="I10" i="11"/>
  <c r="E18" i="11"/>
  <c r="E20" i="11"/>
  <c r="K10" i="11"/>
  <c r="E14" i="11"/>
  <c r="E12" i="11"/>
  <c r="E8" i="11"/>
  <c r="E6" i="11"/>
  <c r="E4" i="11"/>
  <c r="M4" i="10"/>
  <c r="O6" i="10"/>
  <c r="K19" i="11" l="1"/>
  <c r="G5" i="11"/>
  <c r="G19" i="11"/>
  <c r="E15" i="11"/>
  <c r="E19" i="11"/>
  <c r="E9" i="11"/>
  <c r="E11" i="11"/>
  <c r="E5" i="11"/>
  <c r="M11" i="10"/>
  <c r="I7" i="10"/>
  <c r="E3" i="10"/>
  <c r="O17" i="11"/>
  <c r="O9" i="11"/>
  <c r="O13" i="11"/>
  <c r="O7" i="11"/>
  <c r="O3" i="11"/>
  <c r="M9" i="10"/>
  <c r="I5" i="10"/>
  <c r="G11" i="11"/>
  <c r="M17" i="11"/>
  <c r="M9" i="11"/>
  <c r="M13" i="11"/>
  <c r="M7" i="11"/>
  <c r="M3" i="11"/>
  <c r="M7" i="10"/>
  <c r="I3" i="10"/>
  <c r="G11" i="10"/>
  <c r="E13" i="11"/>
  <c r="K9" i="10"/>
  <c r="O9" i="10"/>
  <c r="K11" i="11"/>
  <c r="E7" i="10"/>
  <c r="I19" i="11"/>
  <c r="O5" i="10"/>
  <c r="E11" i="10"/>
  <c r="K17" i="11"/>
  <c r="K9" i="11"/>
  <c r="K13" i="11"/>
  <c r="K7" i="11"/>
  <c r="K3" i="11"/>
  <c r="M5" i="10"/>
  <c r="O15" i="11"/>
  <c r="G5" i="10"/>
  <c r="I15" i="11"/>
  <c r="I17" i="11"/>
  <c r="I9" i="11"/>
  <c r="I13" i="11"/>
  <c r="I7" i="11"/>
  <c r="I3" i="11"/>
  <c r="M3" i="10"/>
  <c r="G9" i="10"/>
  <c r="E7" i="11"/>
  <c r="M11" i="11"/>
  <c r="K5" i="11"/>
  <c r="I11" i="11"/>
  <c r="O3" i="10"/>
  <c r="G17" i="11"/>
  <c r="G9" i="11"/>
  <c r="G13" i="11"/>
  <c r="G7" i="11"/>
  <c r="G3" i="11"/>
  <c r="K11" i="10"/>
  <c r="G7" i="10"/>
  <c r="E17" i="11"/>
  <c r="E3" i="11"/>
  <c r="K5" i="10"/>
  <c r="O7" i="10"/>
  <c r="G15" i="11"/>
  <c r="E9" i="10"/>
  <c r="O19" i="11"/>
  <c r="M15" i="11"/>
  <c r="O11" i="11"/>
  <c r="O5" i="11"/>
  <c r="O11" i="10"/>
  <c r="K7" i="10"/>
  <c r="G3" i="10"/>
  <c r="M19" i="11"/>
  <c r="K15" i="11"/>
  <c r="M5" i="11"/>
  <c r="E5" i="10"/>
  <c r="K3" i="10"/>
  <c r="I5" i="11"/>
  <c r="I11" i="10"/>
  <c r="I9" i="10"/>
  <c r="G45" i="1" l="1"/>
  <c r="G59" i="1" s="1"/>
  <c r="G46" i="1"/>
  <c r="G63" i="1"/>
  <c r="G47" i="1"/>
  <c r="G48" i="1"/>
  <c r="G62" i="1" s="1"/>
  <c r="E13" i="10"/>
  <c r="M13" i="10"/>
  <c r="K21" i="11"/>
  <c r="O21" i="11"/>
  <c r="G21" i="11"/>
  <c r="M21" i="11"/>
  <c r="O13" i="10"/>
  <c r="I21" i="11"/>
  <c r="G13" i="10"/>
  <c r="E21" i="11"/>
  <c r="K13" i="10"/>
  <c r="I13" i="10"/>
  <c r="G61" i="1" l="1"/>
  <c r="M12" i="13" s="1"/>
  <c r="G58" i="1"/>
  <c r="M27" i="12" s="1"/>
  <c r="E6" i="14"/>
  <c r="K6" i="14"/>
  <c r="O6" i="14"/>
  <c r="G60" i="1"/>
  <c r="K5" i="12" s="1"/>
  <c r="G6" i="14"/>
  <c r="I6" i="14"/>
  <c r="M6" i="14"/>
  <c r="M8" i="14"/>
  <c r="G8" i="14"/>
  <c r="E4" i="14"/>
  <c r="M4" i="14"/>
  <c r="O8" i="14"/>
  <c r="E20" i="13"/>
  <c r="E8" i="14"/>
  <c r="I8" i="14"/>
  <c r="K8" i="14"/>
  <c r="O4" i="14"/>
  <c r="G4" i="14"/>
  <c r="I4" i="14"/>
  <c r="K4" i="14"/>
  <c r="E3" i="14"/>
  <c r="E7" i="14"/>
  <c r="K3" i="14"/>
  <c r="M3" i="14"/>
  <c r="K5" i="14"/>
  <c r="I7" i="14"/>
  <c r="M5" i="14"/>
  <c r="G5" i="14"/>
  <c r="M7" i="14"/>
  <c r="O7" i="14"/>
  <c r="I3" i="14"/>
  <c r="K7" i="14"/>
  <c r="O5" i="14"/>
  <c r="E5" i="14"/>
  <c r="I5" i="14"/>
  <c r="O3" i="14"/>
  <c r="G7" i="14"/>
  <c r="G3" i="14"/>
  <c r="I4" i="12"/>
  <c r="E4" i="12"/>
  <c r="G46" i="12"/>
  <c r="O22" i="12"/>
  <c r="I52" i="12"/>
  <c r="E4" i="13"/>
  <c r="I46" i="12"/>
  <c r="M52" i="12"/>
  <c r="G4" i="12"/>
  <c r="M16" i="13"/>
  <c r="I16" i="12"/>
  <c r="G4" i="13"/>
  <c r="E16" i="13"/>
  <c r="I28" i="13"/>
  <c r="E10" i="12"/>
  <c r="O34" i="12"/>
  <c r="K22" i="13"/>
  <c r="K4" i="13"/>
  <c r="O10" i="13"/>
  <c r="E22" i="13"/>
  <c r="O28" i="13"/>
  <c r="I10" i="12"/>
  <c r="I10" i="13"/>
  <c r="O4" i="13"/>
  <c r="G34" i="12"/>
  <c r="I16" i="13"/>
  <c r="K40" i="12"/>
  <c r="G10" i="12"/>
  <c r="O22" i="13"/>
  <c r="K22" i="12"/>
  <c r="O16" i="12"/>
  <c r="O28" i="12"/>
  <c r="O46" i="12"/>
  <c r="K10" i="12"/>
  <c r="O4" i="12"/>
  <c r="M4" i="13"/>
  <c r="K28" i="13"/>
  <c r="M22" i="12"/>
  <c r="K10" i="13"/>
  <c r="G22" i="12"/>
  <c r="E46" i="12"/>
  <c r="I28" i="12"/>
  <c r="G22" i="13"/>
  <c r="G28" i="12"/>
  <c r="O16" i="13"/>
  <c r="K16" i="12"/>
  <c r="K46" i="12"/>
  <c r="I34" i="12"/>
  <c r="K16" i="13"/>
  <c r="M28" i="13"/>
  <c r="E28" i="13"/>
  <c r="G28" i="13"/>
  <c r="E22" i="12"/>
  <c r="M16" i="12"/>
  <c r="G52" i="12"/>
  <c r="I22" i="13"/>
  <c r="E28" i="12"/>
  <c r="M10" i="13"/>
  <c r="K4" i="12"/>
  <c r="G10" i="13"/>
  <c r="I22" i="12"/>
  <c r="G16" i="12"/>
  <c r="M34" i="12"/>
  <c r="O40" i="12"/>
  <c r="E16" i="12"/>
  <c r="K34" i="12"/>
  <c r="K52" i="12"/>
  <c r="E52" i="12"/>
  <c r="K28" i="12"/>
  <c r="I40" i="12"/>
  <c r="M40" i="12"/>
  <c r="E40" i="12"/>
  <c r="M22" i="13"/>
  <c r="O10" i="12"/>
  <c r="M4" i="12"/>
  <c r="O52" i="12"/>
  <c r="M46" i="12"/>
  <c r="G40" i="12"/>
  <c r="I4" i="13"/>
  <c r="G16" i="13"/>
  <c r="M28" i="12"/>
  <c r="E34" i="12"/>
  <c r="M10" i="12"/>
  <c r="E10" i="13"/>
  <c r="E38" i="12"/>
  <c r="K26" i="12"/>
  <c r="I32" i="12"/>
  <c r="G14" i="12"/>
  <c r="E14" i="13"/>
  <c r="I20" i="12"/>
  <c r="O26" i="13"/>
  <c r="E26" i="12"/>
  <c r="E44" i="12"/>
  <c r="K26" i="13"/>
  <c r="O50" i="12"/>
  <c r="M14" i="12"/>
  <c r="M38" i="12"/>
  <c r="G26" i="13"/>
  <c r="G32" i="12"/>
  <c r="M20" i="12"/>
  <c r="E50" i="12"/>
  <c r="O20" i="13"/>
  <c r="O44" i="12"/>
  <c r="E37" i="12"/>
  <c r="O37" i="12"/>
  <c r="I13" i="13"/>
  <c r="G13" i="13"/>
  <c r="I13" i="12"/>
  <c r="I31" i="13"/>
  <c r="G25" i="13"/>
  <c r="O49" i="12"/>
  <c r="M19" i="12"/>
  <c r="M13" i="13"/>
  <c r="K31" i="12"/>
  <c r="O13" i="12"/>
  <c r="I25" i="12"/>
  <c r="K49" i="12"/>
  <c r="I7" i="12"/>
  <c r="M25" i="12"/>
  <c r="M19" i="13"/>
  <c r="I7" i="13"/>
  <c r="E7" i="12"/>
  <c r="M25" i="13"/>
  <c r="O19" i="13"/>
  <c r="K25" i="13"/>
  <c r="K19" i="13"/>
  <c r="I25" i="13"/>
  <c r="G7" i="13"/>
  <c r="I37" i="12"/>
  <c r="E25" i="12"/>
  <c r="K43" i="12"/>
  <c r="E31" i="12"/>
  <c r="G31" i="13"/>
  <c r="I19" i="12"/>
  <c r="G7" i="12"/>
  <c r="E31" i="13"/>
  <c r="E55" i="12"/>
  <c r="O43" i="12"/>
  <c r="M31" i="13"/>
  <c r="K37" i="12"/>
  <c r="I19" i="13"/>
  <c r="G55" i="12"/>
  <c r="E43" i="12"/>
  <c r="E13" i="12"/>
  <c r="I31" i="12"/>
  <c r="I43" i="12"/>
  <c r="M37" i="12"/>
  <c r="I49" i="12"/>
  <c r="I55" i="12"/>
  <c r="M55" i="12"/>
  <c r="K31" i="13"/>
  <c r="G49" i="12"/>
  <c r="O19" i="12"/>
  <c r="M7" i="13"/>
  <c r="K19" i="12"/>
  <c r="G25" i="12"/>
  <c r="G19" i="12"/>
  <c r="E13" i="13"/>
  <c r="K13" i="13"/>
  <c r="G31" i="12"/>
  <c r="O31" i="12"/>
  <c r="E49" i="12"/>
  <c r="K13" i="12"/>
  <c r="O25" i="12"/>
  <c r="M49" i="12"/>
  <c r="O25" i="13"/>
  <c r="K55" i="12"/>
  <c r="K25" i="12"/>
  <c r="G37" i="12"/>
  <c r="O13" i="13"/>
  <c r="G19" i="13"/>
  <c r="M13" i="12"/>
  <c r="M7" i="12"/>
  <c r="K7" i="12"/>
  <c r="G43" i="12"/>
  <c r="E25" i="13"/>
  <c r="M43" i="12"/>
  <c r="O55" i="12"/>
  <c r="E7" i="13"/>
  <c r="O7" i="12"/>
  <c r="G13" i="12"/>
  <c r="K7" i="13"/>
  <c r="O7" i="13"/>
  <c r="E19" i="12"/>
  <c r="E19" i="13"/>
  <c r="O31" i="13"/>
  <c r="M31" i="12"/>
  <c r="E18" i="13" l="1"/>
  <c r="G24" i="13"/>
  <c r="G36" i="12"/>
  <c r="G6" i="13"/>
  <c r="M6" i="12"/>
  <c r="G30" i="13"/>
  <c r="E6" i="13"/>
  <c r="K30" i="12"/>
  <c r="E12" i="13"/>
  <c r="O12" i="12"/>
  <c r="O6" i="13"/>
  <c r="I54" i="12"/>
  <c r="I42" i="12"/>
  <c r="G12" i="12"/>
  <c r="K36" i="12"/>
  <c r="M54" i="12"/>
  <c r="E42" i="12"/>
  <c r="G12" i="13"/>
  <c r="O36" i="12"/>
  <c r="K18" i="13"/>
  <c r="M36" i="12"/>
  <c r="G54" i="12"/>
  <c r="I48" i="12"/>
  <c r="K24" i="12"/>
  <c r="G24" i="12"/>
  <c r="O54" i="12"/>
  <c r="M6" i="13"/>
  <c r="O30" i="13"/>
  <c r="E24" i="13"/>
  <c r="G48" i="12"/>
  <c r="K24" i="13"/>
  <c r="M48" i="12"/>
  <c r="O24" i="13"/>
  <c r="K48" i="12"/>
  <c r="I18" i="12"/>
  <c r="E18" i="12"/>
  <c r="G18" i="12"/>
  <c r="K6" i="13"/>
  <c r="E30" i="13"/>
  <c r="M18" i="12"/>
  <c r="I30" i="13"/>
  <c r="I12" i="12"/>
  <c r="M12" i="12"/>
  <c r="E30" i="12"/>
  <c r="O18" i="13"/>
  <c r="E54" i="12"/>
  <c r="O12" i="13"/>
  <c r="O18" i="12"/>
  <c r="I6" i="12"/>
  <c r="M30" i="12"/>
  <c r="I24" i="13"/>
  <c r="K12" i="12"/>
  <c r="G30" i="12"/>
  <c r="E36" i="12"/>
  <c r="I30" i="12"/>
  <c r="G42" i="12"/>
  <c r="M42" i="12"/>
  <c r="I36" i="12"/>
  <c r="I6" i="13"/>
  <c r="K42" i="12"/>
  <c r="G6" i="12"/>
  <c r="M24" i="13"/>
  <c r="K30" i="13"/>
  <c r="G18" i="13"/>
  <c r="K54" i="12"/>
  <c r="M24" i="12"/>
  <c r="O30" i="12"/>
  <c r="E24" i="12"/>
  <c r="E48" i="12"/>
  <c r="O48" i="12"/>
  <c r="O42" i="12"/>
  <c r="K18" i="12"/>
  <c r="E12" i="12"/>
  <c r="O24" i="12"/>
  <c r="K6" i="12"/>
  <c r="O6" i="12"/>
  <c r="I12" i="13"/>
  <c r="M18" i="13"/>
  <c r="I18" i="13"/>
  <c r="M30" i="13"/>
  <c r="E6" i="12"/>
  <c r="K12" i="13"/>
  <c r="I24" i="12"/>
  <c r="M44" i="12"/>
  <c r="K14" i="12"/>
  <c r="M50" i="12"/>
  <c r="M20" i="13"/>
  <c r="K32" i="12"/>
  <c r="G14" i="13"/>
  <c r="M26" i="13"/>
  <c r="G8" i="12"/>
  <c r="G20" i="12"/>
  <c r="O14" i="12"/>
  <c r="I44" i="12"/>
  <c r="K20" i="12"/>
  <c r="K8" i="12"/>
  <c r="G20" i="13"/>
  <c r="K32" i="13"/>
  <c r="O14" i="13"/>
  <c r="K50" i="12"/>
  <c r="M26" i="12"/>
  <c r="G56" i="12"/>
  <c r="K14" i="13"/>
  <c r="K38" i="12"/>
  <c r="M56" i="12"/>
  <c r="K20" i="13"/>
  <c r="I56" i="12"/>
  <c r="E32" i="12"/>
  <c r="I8" i="12"/>
  <c r="M8" i="13"/>
  <c r="O32" i="12"/>
  <c r="E8" i="13"/>
  <c r="O56" i="12"/>
  <c r="G26" i="12"/>
  <c r="I32" i="13"/>
  <c r="I50" i="12"/>
  <c r="O38" i="12"/>
  <c r="M32" i="13"/>
  <c r="O8" i="12"/>
  <c r="E14" i="12"/>
  <c r="G38" i="12"/>
  <c r="G8" i="13"/>
  <c r="E20" i="12"/>
  <c r="M32" i="12"/>
  <c r="I38" i="12"/>
  <c r="I26" i="13"/>
  <c r="O20" i="12"/>
  <c r="E8" i="12"/>
  <c r="M14" i="13"/>
  <c r="I26" i="12"/>
  <c r="O26" i="12"/>
  <c r="M29" i="13"/>
  <c r="O17" i="12"/>
  <c r="K5" i="13"/>
  <c r="G11" i="12"/>
  <c r="K41" i="12"/>
  <c r="M5" i="12"/>
  <c r="I11" i="12"/>
  <c r="O29" i="13"/>
  <c r="G29" i="12"/>
  <c r="K11" i="13"/>
  <c r="K33" i="12"/>
  <c r="I53" i="12"/>
  <c r="E11" i="12"/>
  <c r="M23" i="12"/>
  <c r="M17" i="13"/>
  <c r="E17" i="13"/>
  <c r="G47" i="12"/>
  <c r="K23" i="12"/>
  <c r="M51" i="12"/>
  <c r="M21" i="12"/>
  <c r="G33" i="12"/>
  <c r="K51" i="12"/>
  <c r="M15" i="13"/>
  <c r="I14" i="12"/>
  <c r="K56" i="12"/>
  <c r="O8" i="13"/>
  <c r="E32" i="13"/>
  <c r="O32" i="13"/>
  <c r="K44" i="12"/>
  <c r="M8" i="12"/>
  <c r="O23" i="13"/>
  <c r="E5" i="12"/>
  <c r="G45" i="12"/>
  <c r="E56" i="12"/>
  <c r="I8" i="13"/>
  <c r="G44" i="12"/>
  <c r="I20" i="13"/>
  <c r="I14" i="13"/>
  <c r="E26" i="13"/>
  <c r="G50" i="12"/>
  <c r="I29" i="12"/>
  <c r="K21" i="13"/>
  <c r="K8" i="13"/>
  <c r="G32" i="13"/>
  <c r="O5" i="12"/>
  <c r="O51" i="12"/>
  <c r="E9" i="14"/>
  <c r="M39" i="12"/>
  <c r="O11" i="12"/>
  <c r="K23" i="13"/>
  <c r="I15" i="12"/>
  <c r="G15" i="13"/>
  <c r="K17" i="12"/>
  <c r="G17" i="13"/>
  <c r="G5" i="13"/>
  <c r="O9" i="13"/>
  <c r="M9" i="12"/>
  <c r="E5" i="13"/>
  <c r="K35" i="12"/>
  <c r="E53" i="12"/>
  <c r="M45" i="12"/>
  <c r="M11" i="13"/>
  <c r="K29" i="13"/>
  <c r="E51" i="12"/>
  <c r="G3" i="12"/>
  <c r="G41" i="12"/>
  <c r="G5" i="12"/>
  <c r="M41" i="12"/>
  <c r="O47" i="12"/>
  <c r="E9" i="12"/>
  <c r="G9" i="12"/>
  <c r="M9" i="13"/>
  <c r="O15" i="13"/>
  <c r="I17" i="13"/>
  <c r="M11" i="12"/>
  <c r="I11" i="13"/>
  <c r="E11" i="13"/>
  <c r="G9" i="13"/>
  <c r="I3" i="12"/>
  <c r="O3" i="12"/>
  <c r="G11" i="13"/>
  <c r="E29" i="13"/>
  <c r="I33" i="12"/>
  <c r="G39" i="12"/>
  <c r="I45" i="12"/>
  <c r="I5" i="13"/>
  <c r="M17" i="12"/>
  <c r="O35" i="12"/>
  <c r="M47" i="12"/>
  <c r="K9" i="13"/>
  <c r="E3" i="13"/>
  <c r="I15" i="13"/>
  <c r="M27" i="13"/>
  <c r="M15" i="12"/>
  <c r="O21" i="12"/>
  <c r="K15" i="12"/>
  <c r="E21" i="12"/>
  <c r="K21" i="12"/>
  <c r="I5" i="12"/>
  <c r="K29" i="12"/>
  <c r="E23" i="12"/>
  <c r="O23" i="12"/>
  <c r="E15" i="12"/>
  <c r="O15" i="12"/>
  <c r="O27" i="12"/>
  <c r="K3" i="12"/>
  <c r="E23" i="13"/>
  <c r="M29" i="12"/>
  <c r="K11" i="12"/>
  <c r="O53" i="12"/>
  <c r="O11" i="13"/>
  <c r="O39" i="12"/>
  <c r="M3" i="12"/>
  <c r="G21" i="13"/>
  <c r="I3" i="13"/>
  <c r="I21" i="13"/>
  <c r="K15" i="13"/>
  <c r="K9" i="14"/>
  <c r="I9" i="12"/>
  <c r="K39" i="12"/>
  <c r="I51" i="12"/>
  <c r="O33" i="12"/>
  <c r="G21" i="12"/>
  <c r="E45" i="12"/>
  <c r="I41" i="12"/>
  <c r="K47" i="12"/>
  <c r="M23" i="13"/>
  <c r="G23" i="12"/>
  <c r="M53" i="12"/>
  <c r="E3" i="12"/>
  <c r="E9" i="13"/>
  <c r="O9" i="12"/>
  <c r="O45" i="12"/>
  <c r="G27" i="12"/>
  <c r="O3" i="13"/>
  <c r="E47" i="12"/>
  <c r="I29" i="13"/>
  <c r="G17" i="12"/>
  <c r="M35" i="12"/>
  <c r="I23" i="12"/>
  <c r="O17" i="13"/>
  <c r="M21" i="13"/>
  <c r="K9" i="12"/>
  <c r="K27" i="12"/>
  <c r="K45" i="12"/>
  <c r="K27" i="13"/>
  <c r="E27" i="13"/>
  <c r="I9" i="14"/>
  <c r="G51" i="12"/>
  <c r="M3" i="13"/>
  <c r="G15" i="12"/>
  <c r="K3" i="13"/>
  <c r="G3" i="13"/>
  <c r="E15" i="13"/>
  <c r="G29" i="13"/>
  <c r="O41" i="12"/>
  <c r="K53" i="12"/>
  <c r="M9" i="14"/>
  <c r="G23" i="13"/>
  <c r="G9" i="14"/>
  <c r="O9" i="14"/>
  <c r="O29" i="12"/>
  <c r="E17" i="12"/>
  <c r="I35" i="12"/>
  <c r="I17" i="12"/>
  <c r="I23" i="13"/>
  <c r="E29" i="12"/>
  <c r="G35" i="12"/>
  <c r="I39" i="12"/>
  <c r="M33" i="12"/>
  <c r="G27" i="13"/>
  <c r="I27" i="13"/>
  <c r="O21" i="13"/>
  <c r="E33" i="12"/>
  <c r="O27" i="13"/>
  <c r="M5" i="13"/>
  <c r="G53" i="12"/>
  <c r="O5" i="13"/>
  <c r="E35" i="12"/>
  <c r="E41" i="12"/>
  <c r="K17" i="13"/>
  <c r="I47" i="12"/>
  <c r="I21" i="12"/>
  <c r="E27" i="12"/>
  <c r="I9" i="13"/>
  <c r="E39" i="12"/>
  <c r="I27" i="12"/>
  <c r="E21" i="13"/>
  <c r="G13" i="22" l="1"/>
  <c r="G25" i="22"/>
  <c r="G37" i="22"/>
  <c r="G12" i="22"/>
  <c r="G18" i="22"/>
  <c r="G24" i="22"/>
  <c r="G30" i="22"/>
  <c r="G36" i="22"/>
  <c r="G19" i="22"/>
  <c r="G31" i="22"/>
  <c r="G14" i="22"/>
  <c r="G20" i="22"/>
  <c r="G26" i="22"/>
  <c r="G32" i="22"/>
  <c r="G38" i="22"/>
  <c r="G17" i="22"/>
  <c r="G29" i="22"/>
  <c r="G15" i="22"/>
  <c r="G21" i="22"/>
  <c r="G27" i="22"/>
  <c r="G33" i="22"/>
  <c r="G16" i="22"/>
  <c r="G22" i="22"/>
  <c r="G34" i="22"/>
  <c r="G23" i="22"/>
  <c r="G10" i="22"/>
  <c r="G28" i="22"/>
  <c r="G35" i="22"/>
  <c r="G11" i="22"/>
  <c r="I20" i="22"/>
  <c r="I35" i="22"/>
  <c r="I32" i="22"/>
  <c r="I15" i="22"/>
  <c r="I37" i="22"/>
  <c r="I28" i="22"/>
  <c r="I17" i="22"/>
  <c r="I11" i="22"/>
  <c r="I24" i="22"/>
  <c r="I30" i="22"/>
  <c r="I9" i="22"/>
  <c r="I34" i="22"/>
  <c r="I13" i="22"/>
  <c r="I18" i="22"/>
  <c r="I21" i="22"/>
  <c r="I25" i="22"/>
  <c r="I29" i="22"/>
  <c r="I26" i="22"/>
  <c r="I10" i="22"/>
  <c r="I12" i="22"/>
  <c r="I19" i="22"/>
  <c r="I14" i="22"/>
  <c r="I36" i="22"/>
  <c r="I33" i="22"/>
  <c r="I27" i="22"/>
  <c r="I23" i="22"/>
  <c r="I16" i="22"/>
  <c r="I31" i="22"/>
  <c r="I38" i="22"/>
  <c r="I22" i="22"/>
  <c r="M33" i="13"/>
  <c r="N10" i="6" s="1"/>
  <c r="E33" i="13"/>
  <c r="O57" i="12"/>
  <c r="P8" i="6" s="1"/>
  <c r="K33" i="13"/>
  <c r="K57" i="12"/>
  <c r="L8" i="6" s="1"/>
  <c r="G33" i="13"/>
  <c r="I57" i="12"/>
  <c r="J8" i="6" s="1"/>
  <c r="M57" i="12"/>
  <c r="N8" i="6" s="1"/>
  <c r="I33" i="13"/>
  <c r="O33" i="13"/>
  <c r="P11" i="6" s="1"/>
  <c r="E57" i="12"/>
  <c r="F8" i="6" s="1"/>
  <c r="G57" i="12"/>
  <c r="H8" i="6" s="1"/>
  <c r="H32" i="6" l="1"/>
  <c r="H11" i="22"/>
  <c r="F30" i="6"/>
  <c r="F9" i="6"/>
  <c r="F11" i="22"/>
  <c r="H17" i="22"/>
  <c r="H23" i="22"/>
  <c r="H29" i="22"/>
  <c r="H35" i="22"/>
  <c r="H12" i="22"/>
  <c r="H24" i="22"/>
  <c r="H30" i="22"/>
  <c r="H13" i="22"/>
  <c r="H25" i="22"/>
  <c r="H37" i="22"/>
  <c r="H18" i="22"/>
  <c r="H36" i="22"/>
  <c r="H19" i="22"/>
  <c r="H31" i="22"/>
  <c r="H14" i="22"/>
  <c r="H20" i="22"/>
  <c r="H32" i="22"/>
  <c r="H38" i="22"/>
  <c r="H26" i="22"/>
  <c r="H15" i="22"/>
  <c r="H21" i="22"/>
  <c r="H27" i="22"/>
  <c r="H33" i="22"/>
  <c r="H34" i="22"/>
  <c r="H16" i="22"/>
  <c r="H22" i="22"/>
  <c r="H28" i="22"/>
  <c r="H31" i="6"/>
  <c r="F12" i="6"/>
  <c r="N23" i="6"/>
  <c r="P10" i="6"/>
  <c r="L13" i="6"/>
  <c r="J36" i="6"/>
  <c r="J9" i="6"/>
  <c r="F31" i="6"/>
  <c r="J26" i="6"/>
  <c r="J29" i="6"/>
  <c r="J34" i="6"/>
  <c r="F26" i="6"/>
  <c r="J35" i="6"/>
  <c r="L32" i="6"/>
  <c r="J32" i="6"/>
  <c r="L28" i="6"/>
  <c r="L20" i="6"/>
  <c r="L27" i="6"/>
  <c r="L37" i="6"/>
  <c r="F20" i="6"/>
  <c r="J13" i="6"/>
  <c r="F11" i="6"/>
  <c r="J37" i="6"/>
  <c r="F17" i="6"/>
  <c r="J12" i="6"/>
  <c r="J31" i="6"/>
  <c r="H11" i="6"/>
  <c r="J30" i="6"/>
  <c r="J19" i="6"/>
  <c r="L26" i="6"/>
  <c r="J10" i="6"/>
  <c r="H22" i="6"/>
  <c r="F18" i="6"/>
  <c r="J28" i="6"/>
  <c r="N15" i="6"/>
  <c r="N21" i="6"/>
  <c r="N38" i="6"/>
  <c r="N12" i="6"/>
  <c r="N19" i="6"/>
  <c r="N20" i="6"/>
  <c r="P12" i="6"/>
  <c r="N31" i="6"/>
  <c r="P38" i="6"/>
  <c r="N24" i="6"/>
  <c r="N25" i="6"/>
  <c r="N33" i="6"/>
  <c r="N11" i="6"/>
  <c r="P21" i="6"/>
  <c r="P25" i="6"/>
  <c r="N14" i="6"/>
  <c r="N16" i="6"/>
  <c r="N34" i="6"/>
  <c r="P14" i="6"/>
  <c r="N27" i="6"/>
  <c r="N17" i="6"/>
  <c r="P16" i="6"/>
  <c r="N26" i="6"/>
  <c r="P37" i="6"/>
  <c r="N18" i="6"/>
  <c r="N35" i="6"/>
  <c r="N36" i="6"/>
  <c r="N32" i="6"/>
  <c r="L29" i="6"/>
  <c r="F37" i="6"/>
  <c r="L36" i="6"/>
  <c r="F21" i="6"/>
  <c r="P36" i="6"/>
  <c r="N30" i="6"/>
  <c r="L17" i="6"/>
  <c r="F34" i="6"/>
  <c r="F38" i="6"/>
  <c r="P26" i="6"/>
  <c r="N9" i="6"/>
  <c r="N22" i="6"/>
  <c r="F10" i="6"/>
  <c r="F16" i="6"/>
  <c r="L38" i="6"/>
  <c r="F27" i="6"/>
  <c r="F33" i="6"/>
  <c r="N37" i="6"/>
  <c r="N13" i="6"/>
  <c r="L25" i="6"/>
  <c r="P9" i="6"/>
  <c r="L23" i="6"/>
  <c r="F24" i="6"/>
  <c r="L15" i="6"/>
  <c r="F32" i="6"/>
  <c r="N28" i="6"/>
  <c r="N29" i="6"/>
  <c r="F25" i="6"/>
  <c r="F15" i="6"/>
  <c r="J14" i="6"/>
  <c r="J25" i="6"/>
  <c r="J38" i="6"/>
  <c r="H28" i="6"/>
  <c r="H10" i="6"/>
  <c r="H16" i="6"/>
  <c r="J22" i="6"/>
  <c r="H37" i="6"/>
  <c r="H33" i="6"/>
  <c r="J18" i="6"/>
  <c r="J15" i="6"/>
  <c r="H12" i="6"/>
  <c r="L35" i="6"/>
  <c r="L31" i="6"/>
  <c r="F29" i="6"/>
  <c r="F22" i="6"/>
  <c r="J17" i="6"/>
  <c r="J20" i="6"/>
  <c r="H19" i="6"/>
  <c r="H15" i="6"/>
  <c r="H35" i="6"/>
  <c r="L22" i="6"/>
  <c r="F35" i="6"/>
  <c r="J11" i="6"/>
  <c r="H30" i="6"/>
  <c r="H24" i="6"/>
  <c r="H9" i="6"/>
  <c r="H18" i="6"/>
  <c r="L19" i="6"/>
  <c r="F28" i="6"/>
  <c r="J16" i="6"/>
  <c r="L24" i="6"/>
  <c r="F13" i="6"/>
  <c r="F23" i="6"/>
  <c r="F14" i="6"/>
  <c r="J24" i="6"/>
  <c r="J23" i="6"/>
  <c r="H34" i="6"/>
  <c r="H14" i="6"/>
  <c r="H21" i="6"/>
  <c r="H26" i="6"/>
  <c r="H20" i="6"/>
  <c r="H38" i="6"/>
  <c r="H36" i="6"/>
  <c r="H25" i="6"/>
  <c r="H23" i="6"/>
  <c r="J21" i="6"/>
  <c r="J33" i="6"/>
  <c r="H17" i="6"/>
  <c r="H13" i="6"/>
  <c r="L14" i="6"/>
  <c r="L30" i="6"/>
  <c r="F19" i="6"/>
  <c r="F36" i="6"/>
  <c r="J27" i="6"/>
  <c r="H29" i="6"/>
  <c r="H27" i="6"/>
  <c r="P31" i="6"/>
  <c r="P35" i="6"/>
  <c r="P13" i="6"/>
  <c r="L11" i="6"/>
  <c r="L18" i="6"/>
  <c r="L10" i="6"/>
  <c r="P20" i="6"/>
  <c r="P24" i="6"/>
  <c r="P22" i="6"/>
  <c r="P19" i="6"/>
  <c r="P28" i="6"/>
  <c r="P17" i="6"/>
  <c r="P23" i="6"/>
  <c r="L34" i="6"/>
  <c r="P27" i="6"/>
  <c r="L16" i="6"/>
  <c r="L9" i="6"/>
  <c r="P18" i="6"/>
  <c r="P34" i="6"/>
  <c r="L21" i="6"/>
  <c r="L12" i="6"/>
  <c r="P29" i="6"/>
  <c r="L33" i="6"/>
  <c r="P32" i="6"/>
  <c r="P15" i="6"/>
  <c r="P33" i="6"/>
  <c r="P30" i="6"/>
  <c r="F12" i="22" l="1"/>
  <c r="F19" i="22"/>
  <c r="F24" i="22"/>
  <c r="F18" i="22"/>
  <c r="F25" i="22"/>
  <c r="F20" i="22"/>
  <c r="F23" i="22"/>
  <c r="F28" i="22"/>
  <c r="F33" i="22"/>
  <c r="F17" i="22"/>
  <c r="F34" i="22"/>
  <c r="F16" i="22"/>
  <c r="F29" i="22"/>
  <c r="F22" i="22"/>
  <c r="F38" i="22"/>
  <c r="F30" i="22"/>
  <c r="F37" i="22"/>
  <c r="F14" i="22"/>
  <c r="F21" i="22"/>
  <c r="F13" i="22"/>
  <c r="F36" i="22"/>
  <c r="F31" i="22"/>
  <c r="F32" i="22"/>
  <c r="F35" i="22"/>
  <c r="F27" i="22"/>
  <c r="F26" i="22"/>
  <c r="F15" i="22"/>
</calcChain>
</file>

<file path=xl/sharedStrings.xml><?xml version="1.0" encoding="utf-8"?>
<sst xmlns="http://schemas.openxmlformats.org/spreadsheetml/2006/main" count="419" uniqueCount="159">
  <si>
    <t>CUSTOS FROTA</t>
  </si>
  <si>
    <t>VEÍCULO</t>
  </si>
  <si>
    <t>EQUIPAMENTO</t>
  </si>
  <si>
    <t>HR</t>
  </si>
  <si>
    <t>VUC</t>
  </si>
  <si>
    <t>TOCO 3/4</t>
  </si>
  <si>
    <t>TOCO</t>
  </si>
  <si>
    <t>TRUCK</t>
  </si>
  <si>
    <t>CARRETA</t>
  </si>
  <si>
    <t>MONITORAMENTO VIA SATÉLITE</t>
  </si>
  <si>
    <t>CUSTO DE MANUTENÇÃO POR KM RODADO</t>
  </si>
  <si>
    <t>PNEUS</t>
  </si>
  <si>
    <t>LICENÇAS E SEGUROS</t>
  </si>
  <si>
    <t>HONORÁRIOS DESPACHANTE</t>
  </si>
  <si>
    <t>SEGURO CONTRA TERCEIROS</t>
  </si>
  <si>
    <t>COMBUSTÍVEL</t>
  </si>
  <si>
    <t>PREÇO MÉDIO DO ÓLEO DIESEL</t>
  </si>
  <si>
    <t>CUSTO KM RODADO</t>
  </si>
  <si>
    <t>KM</t>
  </si>
  <si>
    <t>TIPO</t>
  </si>
  <si>
    <t>PNEU</t>
  </si>
  <si>
    <t>QTDE.</t>
  </si>
  <si>
    <t>VALOR</t>
  </si>
  <si>
    <t>MOTORISTA</t>
  </si>
  <si>
    <t>CONSUMO</t>
  </si>
  <si>
    <t>GRUPO DE PRODUTOS</t>
  </si>
  <si>
    <t>CX 1</t>
  </si>
  <si>
    <t>CX 2</t>
  </si>
  <si>
    <t>CX 4</t>
  </si>
  <si>
    <t>CX 6</t>
  </si>
  <si>
    <t xml:space="preserve">CX P/ TV LCD 40" </t>
  </si>
  <si>
    <t xml:space="preserve">CX P/ TV LCD 50" </t>
  </si>
  <si>
    <t xml:space="preserve">CX P/ TV LCD 60" </t>
  </si>
  <si>
    <t>CX VERDE DUPLEX</t>
  </si>
  <si>
    <t>BOLHA</t>
  </si>
  <si>
    <t>CAPA PLÁSTICA</t>
  </si>
  <si>
    <t>CAPA SOLTEIRO ESPECIAL</t>
  </si>
  <si>
    <t>CAPA CASAL KING</t>
  </si>
  <si>
    <t>FITILHOS</t>
  </si>
  <si>
    <t>FITILHO (1 KG)</t>
  </si>
  <si>
    <t>FITA</t>
  </si>
  <si>
    <t>FITA ADESIVA 48X50 METROS</t>
  </si>
  <si>
    <t>PAPEL MANILHA (10 KG)</t>
  </si>
  <si>
    <t>PAPEL SEMI-KRAFT (25 KG)</t>
  </si>
  <si>
    <t>ONDULADO DE 120X25 KG</t>
  </si>
  <si>
    <t>MATERIAL DE EMBALAGEM</t>
  </si>
  <si>
    <t>MANUTENÇÃO</t>
  </si>
  <si>
    <t>KM de</t>
  </si>
  <si>
    <t>KM até</t>
  </si>
  <si>
    <t>Função</t>
  </si>
  <si>
    <t>Chefe de Equipe</t>
  </si>
  <si>
    <t>Embalador</t>
  </si>
  <si>
    <t>MÃO DE OBRA</t>
  </si>
  <si>
    <t>RECURSOS</t>
  </si>
  <si>
    <t>Diária</t>
  </si>
  <si>
    <t>OPERAÇÃO</t>
  </si>
  <si>
    <t>CHEFE DE EQUIPE</t>
  </si>
  <si>
    <t>EMBALADOR</t>
  </si>
  <si>
    <t>EMBALAGEM/APANHA</t>
  </si>
  <si>
    <t>EMBALAGEM ANTECIPADA 1</t>
  </si>
  <si>
    <t>EMBALAGEM ANTECIPADA 2</t>
  </si>
  <si>
    <t>APANHA 1</t>
  </si>
  <si>
    <t>APANHA 2</t>
  </si>
  <si>
    <t>ENTREGA</t>
  </si>
  <si>
    <t>APANHA/ENTREGA 1</t>
  </si>
  <si>
    <t>APANHA/ENTREGA 2</t>
  </si>
  <si>
    <t>APANHA/ENTREGA 3</t>
  </si>
  <si>
    <t>EMBALAGEM/APANHA/ENTREGA</t>
  </si>
  <si>
    <t>MARKUP</t>
  </si>
  <si>
    <t>VIAGEM</t>
  </si>
  <si>
    <t>EQUIPE</t>
  </si>
  <si>
    <t>Viagem Ida</t>
  </si>
  <si>
    <t>TAXA ADMINISTRATIVA</t>
  </si>
  <si>
    <t>COMISSÕES</t>
  </si>
  <si>
    <t>LUCRO</t>
  </si>
  <si>
    <t>%</t>
  </si>
  <si>
    <t>ICMS</t>
  </si>
  <si>
    <t>ISS</t>
  </si>
  <si>
    <t>MARKUP DIVISOR (LOCAL)</t>
  </si>
  <si>
    <t>MARKUP DIVISOR (INTERMUNICIPAL)</t>
  </si>
  <si>
    <t>Valor Unit.</t>
  </si>
  <si>
    <t>m³</t>
  </si>
  <si>
    <t>MENSAL</t>
  </si>
  <si>
    <t>IPVA</t>
  </si>
  <si>
    <t>LICENCIAMENTO</t>
  </si>
  <si>
    <t>REMUNERAÇÃO</t>
  </si>
  <si>
    <t>DESPESA ANUAL</t>
  </si>
  <si>
    <t>EQUIPAMENTOS</t>
  </si>
  <si>
    <t>CUSTO MOTORISTA / DIA</t>
  </si>
  <si>
    <t>DV (JANTA E PERNOITE) / DIA</t>
  </si>
  <si>
    <t>CUSTO DIÁRIA PARADO (VEÍCULO + MOTORISTA)</t>
  </si>
  <si>
    <t>CUSTO DIÁRIA LOCAL (VEÍCULO + MOTORISTA + 50 KM)</t>
  </si>
  <si>
    <t>POLIBOLHA 130X100 METROS</t>
  </si>
  <si>
    <t>Salário</t>
  </si>
  <si>
    <t>VT Dia</t>
  </si>
  <si>
    <t>VT</t>
  </si>
  <si>
    <t>Desconto VT</t>
  </si>
  <si>
    <t>Alimentação Dia</t>
  </si>
  <si>
    <t>Alimentação</t>
  </si>
  <si>
    <t>Odonto</t>
  </si>
  <si>
    <t>INSS Terceiros</t>
  </si>
  <si>
    <t>FGTS</t>
  </si>
  <si>
    <t>Provisão 13º</t>
  </si>
  <si>
    <t>Provisão INSS Terceiros 13º</t>
  </si>
  <si>
    <t>Provisão FGTS 13º</t>
  </si>
  <si>
    <t>Provisão INSS 1/3 Férias</t>
  </si>
  <si>
    <t>Provisão FGTS Férias</t>
  </si>
  <si>
    <t>PLR Anual</t>
  </si>
  <si>
    <t>Provisão PLR</t>
  </si>
  <si>
    <t>Provisão Rescisões</t>
  </si>
  <si>
    <t>Custo Mensal</t>
  </si>
  <si>
    <t>Custo Diária</t>
  </si>
  <si>
    <t>Motorista</t>
  </si>
  <si>
    <t>Salário Nominal</t>
  </si>
  <si>
    <t>Provisão Férias + 1/3 Férias</t>
  </si>
  <si>
    <t>AJUDANTES PARA ENTREGA</t>
  </si>
  <si>
    <t>valor por ajudante para entrega</t>
  </si>
  <si>
    <t>EQUIPE NECESSÁRIA POR FAIXA DE VOLUME M³</t>
  </si>
  <si>
    <t>VEÍCULO NECESSÁRIO POR FAIXA DE VOLUME M³</t>
  </si>
  <si>
    <t>TIPO*</t>
  </si>
  <si>
    <t>*custo do km por tipo de veículo</t>
  </si>
  <si>
    <t>*custo da diária parado por tipo de veículo</t>
  </si>
  <si>
    <t>TABELA REFERENCIAL DE CUSTO DE MUDANÇAS DIRETAS</t>
  </si>
  <si>
    <t>15 m³</t>
  </si>
  <si>
    <t>30 m³</t>
  </si>
  <si>
    <t>45 m³</t>
  </si>
  <si>
    <t>60 m³</t>
  </si>
  <si>
    <t>75 m³</t>
  </si>
  <si>
    <t>90 m³</t>
  </si>
  <si>
    <t>ATÉ</t>
  </si>
  <si>
    <t>M³</t>
  </si>
  <si>
    <t>CAIXA DE PAPELÃO</t>
  </si>
  <si>
    <t>MUDANÇAS DE APROVEITAMENTO</t>
  </si>
  <si>
    <t>FUNÇÃO</t>
  </si>
  <si>
    <t>-</t>
  </si>
  <si>
    <t>GENERALIDADES DO TRANSPORTE</t>
  </si>
  <si>
    <t>Tipo de Cobrança</t>
  </si>
  <si>
    <t>Forma de Cobrança</t>
  </si>
  <si>
    <t>Sugestão</t>
  </si>
  <si>
    <t>s/ o valor da mercadoria</t>
  </si>
  <si>
    <t>Por conhecimento</t>
  </si>
  <si>
    <t>Gerenciamento de Risco - GRIS</t>
  </si>
  <si>
    <t xml:space="preserve"> - para todas as faixas</t>
  </si>
  <si>
    <t xml:space="preserve"> - até valor de mercadoria de R$ 2.868,00 cobrar</t>
  </si>
  <si>
    <t xml:space="preserve">2. </t>
  </si>
  <si>
    <t>Seguro Fluvial</t>
  </si>
  <si>
    <t xml:space="preserve">3. </t>
  </si>
  <si>
    <t>Seguro</t>
  </si>
  <si>
    <t xml:space="preserve">1. </t>
  </si>
  <si>
    <t>IMPOSTOS FEDERAIS ¹ + INSS DESONERAÇÃO</t>
  </si>
  <si>
    <t>ICMS ²</t>
  </si>
  <si>
    <t>modelo utiliza as alíquotas do Lucro Presumido *¹</t>
  </si>
  <si>
    <t>crédito outorgado *²</t>
  </si>
  <si>
    <t>Para adaptar a planilha de acordo com a sua realidade basta alterar os valores em verde</t>
  </si>
  <si>
    <t>COMPOSIÇÃO</t>
  </si>
  <si>
    <t>PAPELÃO</t>
  </si>
  <si>
    <t>TOTAL</t>
  </si>
  <si>
    <t>Para adaptar a planilha de acordo com a sua realidade basta alterar os valores em verde, referente ao valor unitário (coluna D) e a quantidade de cada item (colunas E, G, I, K, M e O)</t>
  </si>
  <si>
    <t>Fevereiro/2026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</si>
</sst>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0.0"/>
    <numFmt numFmtId="165" formatCode="_-* #,##0_-;\-* #,##0_-;_-* &quot;-&quot;??_-;_-@_-"/>
    <numFmt numFmtId="166" formatCode="#,##0_ ;\-#,##0\ "/>
    <numFmt numFmtId="167" formatCode="[$-416]mmm\-yy;@"/>
    <numFmt numFmtId="168" formatCode="_(* #,##0.00_);_(* \(#,##0.00\);_(* &quot;-&quot;??_);_(@_)"/>
    <numFmt numFmtId="169" formatCode="&quot;R$ &quot;#,##0.00"/>
    <numFmt numFmtId="170" formatCode="0.0%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0"/>
      <name val="Arial"/>
      <family val="2"/>
    </font>
    <font>
      <b/>
      <sz val="11"/>
      <color theme="0"/>
      <name val="Arial"/>
      <family val="2"/>
    </font>
    <font>
      <b/>
      <sz val="10"/>
      <color theme="0"/>
      <name val="Segoe UI Semibold"/>
      <family val="2"/>
    </font>
    <font>
      <sz val="10"/>
      <color theme="1"/>
      <name val="Segoe UI Semibold"/>
      <family val="2"/>
    </font>
    <font>
      <sz val="10"/>
      <name val="Arial"/>
      <family val="2"/>
    </font>
    <font>
      <sz val="10"/>
      <color theme="1" tint="4.9989318521683403E-2"/>
      <name val="Calibri"/>
      <family val="2"/>
      <scheme val="minor"/>
    </font>
    <font>
      <sz val="10"/>
      <color theme="0"/>
      <name val="Segoe UI Semibold"/>
      <family val="2"/>
    </font>
    <font>
      <b/>
      <sz val="10"/>
      <color theme="1" tint="4.9989318521683403E-2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0"/>
      <color rgb="FF00B05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theme="0"/>
      <name val="Segoe UI Semibold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2060"/>
        <bgColor theme="4" tint="0.59999389629810485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/>
      <top/>
      <bottom/>
      <diagonal/>
    </border>
    <border>
      <left style="thin">
        <color theme="0"/>
      </left>
      <right/>
      <top style="thin">
        <color theme="0"/>
      </top>
      <bottom/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5" fillId="0" borderId="0"/>
    <xf numFmtId="168" fontId="15" fillId="0" borderId="0" applyFont="0" applyFill="0" applyBorder="0" applyAlignment="0" applyProtection="0"/>
    <xf numFmtId="0" fontId="15" fillId="0" borderId="0"/>
  </cellStyleXfs>
  <cellXfs count="212">
    <xf numFmtId="0" fontId="0" fillId="0" borderId="0" xfId="0"/>
    <xf numFmtId="0" fontId="3" fillId="2" borderId="0" xfId="0" applyFont="1" applyFill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0" fillId="2" borderId="0" xfId="0" applyFill="1"/>
    <xf numFmtId="44" fontId="5" fillId="2" borderId="0" xfId="2" applyFont="1" applyFill="1" applyBorder="1" applyAlignment="1">
      <alignment horizontal="left"/>
    </xf>
    <xf numFmtId="0" fontId="5" fillId="2" borderId="0" xfId="0" applyFont="1" applyFill="1" applyAlignment="1">
      <alignment horizontal="left"/>
    </xf>
    <xf numFmtId="0" fontId="0" fillId="2" borderId="0" xfId="0" applyFill="1" applyAlignment="1">
      <alignment horizontal="left"/>
    </xf>
    <xf numFmtId="44" fontId="0" fillId="2" borderId="0" xfId="2" applyFont="1" applyFill="1"/>
    <xf numFmtId="44" fontId="0" fillId="0" borderId="0" xfId="2" applyFont="1"/>
    <xf numFmtId="0" fontId="0" fillId="2" borderId="0" xfId="0" applyFill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44" fontId="0" fillId="2" borderId="0" xfId="0" applyNumberFormat="1" applyFill="1"/>
    <xf numFmtId="165" fontId="0" fillId="2" borderId="0" xfId="1" applyNumberFormat="1" applyFont="1" applyFill="1" applyBorder="1"/>
    <xf numFmtId="44" fontId="0" fillId="2" borderId="0" xfId="2" applyFont="1" applyFill="1" applyBorder="1"/>
    <xf numFmtId="43" fontId="0" fillId="2" borderId="0" xfId="1" applyFont="1" applyFill="1" applyAlignment="1">
      <alignment vertical="center"/>
    </xf>
    <xf numFmtId="44" fontId="0" fillId="2" borderId="0" xfId="2" applyFont="1" applyFill="1" applyAlignment="1">
      <alignment vertical="center"/>
    </xf>
    <xf numFmtId="10" fontId="0" fillId="0" borderId="0" xfId="3" applyNumberFormat="1" applyFont="1"/>
    <xf numFmtId="44" fontId="0" fillId="4" borderId="0" xfId="2" applyFont="1" applyFill="1" applyBorder="1"/>
    <xf numFmtId="44" fontId="9" fillId="2" borderId="0" xfId="2" applyFont="1" applyFill="1" applyBorder="1" applyAlignment="1">
      <alignment horizontal="right"/>
    </xf>
    <xf numFmtId="166" fontId="0" fillId="2" borderId="0" xfId="1" applyNumberFormat="1" applyFont="1" applyFill="1" applyBorder="1" applyAlignment="1">
      <alignment horizontal="center"/>
    </xf>
    <xf numFmtId="166" fontId="0" fillId="4" borderId="0" xfId="1" applyNumberFormat="1" applyFont="1" applyFill="1" applyBorder="1" applyAlignment="1">
      <alignment horizontal="center"/>
    </xf>
    <xf numFmtId="0" fontId="3" fillId="2" borderId="0" xfId="0" applyFont="1" applyFill="1" applyAlignment="1">
      <alignment vertical="center"/>
    </xf>
    <xf numFmtId="0" fontId="8" fillId="3" borderId="2" xfId="0" applyFont="1" applyFill="1" applyBorder="1"/>
    <xf numFmtId="43" fontId="8" fillId="3" borderId="2" xfId="1" applyFont="1" applyFill="1" applyBorder="1"/>
    <xf numFmtId="0" fontId="8" fillId="3" borderId="0" xfId="0" applyFont="1" applyFill="1"/>
    <xf numFmtId="9" fontId="8" fillId="3" borderId="0" xfId="3" applyFont="1" applyFill="1"/>
    <xf numFmtId="0" fontId="7" fillId="2" borderId="0" xfId="0" applyFont="1" applyFill="1"/>
    <xf numFmtId="43" fontId="0" fillId="2" borderId="0" xfId="1" applyFont="1" applyFill="1" applyBorder="1"/>
    <xf numFmtId="165" fontId="2" fillId="2" borderId="0" xfId="1" applyNumberFormat="1" applyFont="1" applyFill="1" applyBorder="1"/>
    <xf numFmtId="43" fontId="10" fillId="2" borderId="0" xfId="1" applyFont="1" applyFill="1" applyBorder="1"/>
    <xf numFmtId="0" fontId="8" fillId="2" borderId="0" xfId="0" applyFont="1" applyFill="1"/>
    <xf numFmtId="43" fontId="8" fillId="2" borderId="0" xfId="1" applyFont="1" applyFill="1" applyBorder="1"/>
    <xf numFmtId="9" fontId="8" fillId="2" borderId="0" xfId="3" applyFont="1" applyFill="1" applyBorder="1"/>
    <xf numFmtId="44" fontId="10" fillId="0" borderId="0" xfId="2" applyFont="1" applyFill="1"/>
    <xf numFmtId="0" fontId="11" fillId="0" borderId="0" xfId="0" applyFont="1"/>
    <xf numFmtId="44" fontId="1" fillId="0" borderId="0" xfId="2" applyFont="1" applyFill="1"/>
    <xf numFmtId="0" fontId="12" fillId="0" borderId="0" xfId="0" applyFont="1"/>
    <xf numFmtId="0" fontId="4" fillId="3" borderId="1" xfId="0" applyFont="1" applyFill="1" applyBorder="1"/>
    <xf numFmtId="44" fontId="4" fillId="3" borderId="1" xfId="2" applyFont="1" applyFill="1" applyBorder="1"/>
    <xf numFmtId="44" fontId="4" fillId="3" borderId="1" xfId="2" applyFont="1" applyFill="1" applyBorder="1" applyAlignment="1"/>
    <xf numFmtId="44" fontId="5" fillId="3" borderId="1" xfId="2" applyFont="1" applyFill="1" applyBorder="1"/>
    <xf numFmtId="44" fontId="5" fillId="3" borderId="1" xfId="0" applyNumberFormat="1" applyFont="1" applyFill="1" applyBorder="1"/>
    <xf numFmtId="0" fontId="4" fillId="3" borderId="1" xfId="0" applyFont="1" applyFill="1" applyBorder="1" applyAlignment="1">
      <alignment horizontal="center"/>
    </xf>
    <xf numFmtId="44" fontId="5" fillId="5" borderId="1" xfId="2" applyFont="1" applyFill="1" applyBorder="1"/>
    <xf numFmtId="44" fontId="5" fillId="5" borderId="1" xfId="0" applyNumberFormat="1" applyFont="1" applyFill="1" applyBorder="1"/>
    <xf numFmtId="44" fontId="0" fillId="2" borderId="0" xfId="2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7" fillId="0" borderId="0" xfId="0" applyFont="1"/>
    <xf numFmtId="165" fontId="2" fillId="6" borderId="0" xfId="1" applyNumberFormat="1" applyFont="1" applyFill="1" applyBorder="1" applyAlignment="1">
      <alignment horizontal="center"/>
    </xf>
    <xf numFmtId="0" fontId="7" fillId="0" borderId="0" xfId="0" applyFont="1" applyAlignment="1">
      <alignment vertical="center"/>
    </xf>
    <xf numFmtId="165" fontId="14" fillId="2" borderId="0" xfId="1" applyNumberFormat="1" applyFont="1" applyFill="1" applyBorder="1"/>
    <xf numFmtId="0" fontId="14" fillId="2" borderId="0" xfId="0" applyFont="1" applyFill="1" applyAlignment="1">
      <alignment horizontal="left"/>
    </xf>
    <xf numFmtId="165" fontId="14" fillId="2" borderId="0" xfId="1" applyNumberFormat="1" applyFont="1" applyFill="1" applyBorder="1" applyAlignment="1">
      <alignment horizontal="center"/>
    </xf>
    <xf numFmtId="165" fontId="2" fillId="6" borderId="0" xfId="1" applyNumberFormat="1" applyFont="1" applyFill="1" applyBorder="1"/>
    <xf numFmtId="44" fontId="9" fillId="2" borderId="0" xfId="2" applyFont="1" applyFill="1" applyAlignment="1">
      <alignment horizontal="left"/>
    </xf>
    <xf numFmtId="165" fontId="0" fillId="2" borderId="0" xfId="1" applyNumberFormat="1" applyFont="1" applyFill="1" applyBorder="1" applyAlignment="1">
      <alignment vertical="center"/>
    </xf>
    <xf numFmtId="44" fontId="0" fillId="2" borderId="0" xfId="2" applyFont="1" applyFill="1" applyBorder="1" applyAlignment="1">
      <alignment vertical="center"/>
    </xf>
    <xf numFmtId="44" fontId="0" fillId="4" borderId="0" xfId="2" applyFont="1" applyFill="1" applyBorder="1" applyAlignment="1">
      <alignment vertical="center"/>
    </xf>
    <xf numFmtId="44" fontId="5" fillId="2" borderId="0" xfId="2" applyFont="1" applyFill="1" applyBorder="1" applyAlignment="1">
      <alignment vertical="center"/>
    </xf>
    <xf numFmtId="165" fontId="13" fillId="6" borderId="3" xfId="1" applyNumberFormat="1" applyFont="1" applyFill="1" applyBorder="1" applyAlignment="1">
      <alignment horizontal="center"/>
    </xf>
    <xf numFmtId="165" fontId="13" fillId="6" borderId="4" xfId="1" applyNumberFormat="1" applyFont="1" applyFill="1" applyBorder="1" applyAlignment="1">
      <alignment horizontal="center"/>
    </xf>
    <xf numFmtId="165" fontId="13" fillId="6" borderId="5" xfId="1" applyNumberFormat="1" applyFont="1" applyFill="1" applyBorder="1" applyAlignment="1">
      <alignment horizontal="center"/>
    </xf>
    <xf numFmtId="44" fontId="10" fillId="2" borderId="0" xfId="2" applyFont="1" applyFill="1" applyBorder="1" applyAlignment="1">
      <alignment vertical="center"/>
    </xf>
    <xf numFmtId="0" fontId="3" fillId="0" borderId="0" xfId="0" applyFont="1"/>
    <xf numFmtId="167" fontId="16" fillId="0" borderId="6" xfId="4" applyNumberFormat="1" applyFont="1" applyBorder="1" applyAlignment="1">
      <alignment horizontal="left" vertical="center" shrinkToFit="1"/>
    </xf>
    <xf numFmtId="167" fontId="16" fillId="7" borderId="6" xfId="4" applyNumberFormat="1" applyFont="1" applyFill="1" applyBorder="1" applyAlignment="1">
      <alignment horizontal="left" vertical="center" shrinkToFit="1"/>
    </xf>
    <xf numFmtId="44" fontId="16" fillId="0" borderId="6" xfId="2" applyFont="1" applyFill="1" applyBorder="1" applyAlignment="1">
      <alignment horizontal="center" vertical="center"/>
    </xf>
    <xf numFmtId="0" fontId="17" fillId="8" borderId="6" xfId="4" applyFont="1" applyFill="1" applyBorder="1" applyAlignment="1">
      <alignment horizontal="center" vertical="center" wrapText="1"/>
    </xf>
    <xf numFmtId="167" fontId="18" fillId="7" borderId="6" xfId="4" applyNumberFormat="1" applyFont="1" applyFill="1" applyBorder="1" applyAlignment="1">
      <alignment horizontal="left" vertical="center" shrinkToFit="1"/>
    </xf>
    <xf numFmtId="44" fontId="18" fillId="0" borderId="6" xfId="2" applyFont="1" applyFill="1" applyBorder="1" applyAlignment="1">
      <alignment horizontal="center" vertical="center"/>
    </xf>
    <xf numFmtId="167" fontId="18" fillId="0" borderId="6" xfId="4" applyNumberFormat="1" applyFont="1" applyBorder="1" applyAlignment="1">
      <alignment horizontal="left" vertical="center" shrinkToFit="1"/>
    </xf>
    <xf numFmtId="0" fontId="17" fillId="8" borderId="6" xfId="4" applyFont="1" applyFill="1" applyBorder="1" applyAlignment="1">
      <alignment horizontal="center" vertical="center" shrinkToFit="1"/>
    </xf>
    <xf numFmtId="44" fontId="16" fillId="7" borderId="6" xfId="2" applyFont="1" applyFill="1" applyBorder="1" applyAlignment="1">
      <alignment horizontal="center" vertical="center"/>
    </xf>
    <xf numFmtId="44" fontId="18" fillId="7" borderId="6" xfId="2" applyFont="1" applyFill="1" applyBorder="1" applyAlignment="1">
      <alignment horizontal="center" vertical="center"/>
    </xf>
    <xf numFmtId="10" fontId="0" fillId="0" borderId="0" xfId="3" applyNumberFormat="1" applyFont="1" applyFill="1"/>
    <xf numFmtId="0" fontId="14" fillId="0" borderId="0" xfId="0" applyFont="1"/>
    <xf numFmtId="10" fontId="14" fillId="0" borderId="0" xfId="3" applyNumberFormat="1" applyFont="1"/>
    <xf numFmtId="10" fontId="18" fillId="0" borderId="6" xfId="4" applyNumberFormat="1" applyFont="1" applyBorder="1" applyAlignment="1">
      <alignment horizontal="center" vertical="center" shrinkToFit="1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44" fontId="3" fillId="0" borderId="0" xfId="2" applyFont="1" applyFill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44" fontId="16" fillId="7" borderId="6" xfId="2" applyFont="1" applyFill="1" applyBorder="1" applyAlignment="1">
      <alignment horizontal="left" vertical="center" shrinkToFit="1"/>
    </xf>
    <xf numFmtId="44" fontId="16" fillId="0" borderId="6" xfId="2" applyFont="1" applyBorder="1" applyAlignment="1">
      <alignment horizontal="left" vertical="center" shrinkToFit="1"/>
    </xf>
    <xf numFmtId="167" fontId="18" fillId="0" borderId="10" xfId="4" applyNumberFormat="1" applyFont="1" applyBorder="1" applyAlignment="1">
      <alignment horizontal="left" vertical="center" shrinkToFit="1"/>
    </xf>
    <xf numFmtId="10" fontId="18" fillId="0" borderId="10" xfId="4" applyNumberFormat="1" applyFont="1" applyBorder="1" applyAlignment="1">
      <alignment horizontal="center" vertical="center" shrinkToFit="1"/>
    </xf>
    <xf numFmtId="0" fontId="3" fillId="0" borderId="6" xfId="0" applyFont="1" applyBorder="1" applyAlignment="1">
      <alignment horizontal="center" vertical="center"/>
    </xf>
    <xf numFmtId="44" fontId="0" fillId="0" borderId="6" xfId="2" applyFont="1" applyFill="1" applyBorder="1" applyAlignment="1">
      <alignment vertical="center"/>
    </xf>
    <xf numFmtId="0" fontId="19" fillId="0" borderId="6" xfId="0" applyFont="1" applyBorder="1" applyAlignment="1">
      <alignment horizontal="center" vertical="center"/>
    </xf>
    <xf numFmtId="0" fontId="21" fillId="7" borderId="6" xfId="0" applyFont="1" applyFill="1" applyBorder="1" applyAlignment="1">
      <alignment horizontal="left" vertical="center"/>
    </xf>
    <xf numFmtId="165" fontId="22" fillId="6" borderId="6" xfId="1" applyNumberFormat="1" applyFont="1" applyFill="1" applyBorder="1" applyAlignment="1">
      <alignment vertical="center"/>
    </xf>
    <xf numFmtId="44" fontId="20" fillId="7" borderId="6" xfId="2" applyFont="1" applyFill="1" applyBorder="1" applyAlignment="1">
      <alignment vertical="center"/>
    </xf>
    <xf numFmtId="0" fontId="21" fillId="0" borderId="6" xfId="0" applyFont="1" applyBorder="1" applyAlignment="1">
      <alignment horizontal="left" vertical="center"/>
    </xf>
    <xf numFmtId="44" fontId="20" fillId="0" borderId="6" xfId="2" applyFont="1" applyFill="1" applyBorder="1" applyAlignment="1">
      <alignment vertical="center"/>
    </xf>
    <xf numFmtId="165" fontId="22" fillId="6" borderId="6" xfId="1" applyNumberFormat="1" applyFont="1" applyFill="1" applyBorder="1" applyAlignment="1">
      <alignment horizontal="center" vertical="center"/>
    </xf>
    <xf numFmtId="0" fontId="20" fillId="2" borderId="0" xfId="0" applyFont="1" applyFill="1"/>
    <xf numFmtId="0" fontId="20" fillId="2" borderId="0" xfId="0" applyFont="1" applyFill="1" applyAlignment="1">
      <alignment horizontal="left"/>
    </xf>
    <xf numFmtId="0" fontId="20" fillId="0" borderId="6" xfId="0" applyFont="1" applyBorder="1" applyAlignment="1">
      <alignment vertical="center"/>
    </xf>
    <xf numFmtId="165" fontId="22" fillId="6" borderId="6" xfId="1" applyNumberFormat="1" applyFont="1" applyFill="1" applyBorder="1"/>
    <xf numFmtId="0" fontId="20" fillId="7" borderId="6" xfId="0" applyFont="1" applyFill="1" applyBorder="1" applyAlignment="1">
      <alignment vertical="center"/>
    </xf>
    <xf numFmtId="0" fontId="20" fillId="2" borderId="6" xfId="0" applyFont="1" applyFill="1" applyBorder="1" applyAlignment="1">
      <alignment vertical="center"/>
    </xf>
    <xf numFmtId="44" fontId="20" fillId="2" borderId="6" xfId="2" applyFont="1" applyFill="1" applyBorder="1" applyAlignment="1">
      <alignment vertical="center"/>
    </xf>
    <xf numFmtId="0" fontId="20" fillId="0" borderId="6" xfId="0" applyFont="1" applyBorder="1" applyAlignment="1">
      <alignment horizontal="left"/>
    </xf>
    <xf numFmtId="0" fontId="20" fillId="0" borderId="6" xfId="0" applyFont="1" applyBorder="1"/>
    <xf numFmtId="44" fontId="19" fillId="0" borderId="6" xfId="0" applyNumberFormat="1" applyFont="1" applyBorder="1"/>
    <xf numFmtId="0" fontId="19" fillId="0" borderId="6" xfId="0" applyFont="1" applyBorder="1"/>
    <xf numFmtId="0" fontId="20" fillId="2" borderId="6" xfId="0" applyFont="1" applyFill="1" applyBorder="1" applyAlignment="1">
      <alignment horizontal="left" vertical="center"/>
    </xf>
    <xf numFmtId="44" fontId="19" fillId="2" borderId="6" xfId="0" applyNumberFormat="1" applyFont="1" applyFill="1" applyBorder="1" applyAlignment="1">
      <alignment vertical="center"/>
    </xf>
    <xf numFmtId="0" fontId="19" fillId="2" borderId="6" xfId="0" applyFont="1" applyFill="1" applyBorder="1" applyAlignment="1">
      <alignment vertical="center"/>
    </xf>
    <xf numFmtId="0" fontId="19" fillId="0" borderId="6" xfId="0" applyFont="1" applyBorder="1" applyAlignment="1">
      <alignment horizontal="left" vertical="center"/>
    </xf>
    <xf numFmtId="0" fontId="19" fillId="0" borderId="6" xfId="0" applyFont="1" applyBorder="1" applyAlignment="1">
      <alignment vertical="center"/>
    </xf>
    <xf numFmtId="0" fontId="20" fillId="0" borderId="6" xfId="0" applyFont="1" applyBorder="1" applyAlignment="1">
      <alignment horizontal="left" vertical="center"/>
    </xf>
    <xf numFmtId="44" fontId="19" fillId="0" borderId="6" xfId="0" applyNumberFormat="1" applyFont="1" applyBorder="1" applyAlignment="1">
      <alignment vertical="center"/>
    </xf>
    <xf numFmtId="0" fontId="0" fillId="0" borderId="6" xfId="0" applyBorder="1" applyAlignment="1">
      <alignment vertical="center"/>
    </xf>
    <xf numFmtId="165" fontId="0" fillId="0" borderId="6" xfId="1" applyNumberFormat="1" applyFont="1" applyFill="1" applyBorder="1" applyAlignment="1">
      <alignment vertical="center"/>
    </xf>
    <xf numFmtId="0" fontId="0" fillId="0" borderId="6" xfId="0" applyBorder="1"/>
    <xf numFmtId="44" fontId="3" fillId="0" borderId="6" xfId="0" applyNumberFormat="1" applyFont="1" applyBorder="1"/>
    <xf numFmtId="0" fontId="3" fillId="0" borderId="6" xfId="0" applyFont="1" applyBorder="1"/>
    <xf numFmtId="44" fontId="19" fillId="0" borderId="6" xfId="2" applyFont="1" applyFill="1" applyBorder="1" applyAlignment="1">
      <alignment vertical="center"/>
    </xf>
    <xf numFmtId="43" fontId="20" fillId="2" borderId="6" xfId="1" applyFont="1" applyFill="1" applyBorder="1" applyAlignment="1">
      <alignment vertical="center"/>
    </xf>
    <xf numFmtId="44" fontId="19" fillId="2" borderId="6" xfId="2" applyFont="1" applyFill="1" applyBorder="1" applyAlignment="1">
      <alignment vertical="center"/>
    </xf>
    <xf numFmtId="43" fontId="19" fillId="2" borderId="6" xfId="1" applyFont="1" applyFill="1" applyBorder="1" applyAlignment="1">
      <alignment vertical="center"/>
    </xf>
    <xf numFmtId="0" fontId="21" fillId="0" borderId="6" xfId="0" applyFont="1" applyBorder="1" applyAlignment="1">
      <alignment horizontal="center"/>
    </xf>
    <xf numFmtId="44" fontId="21" fillId="0" borderId="6" xfId="2" applyFont="1" applyFill="1" applyBorder="1" applyAlignment="1">
      <alignment horizontal="center"/>
    </xf>
    <xf numFmtId="0" fontId="22" fillId="6" borderId="6" xfId="0" applyFont="1" applyFill="1" applyBorder="1" applyAlignment="1">
      <alignment horizontal="center"/>
    </xf>
    <xf numFmtId="44" fontId="22" fillId="6" borderId="0" xfId="2" applyFont="1" applyFill="1"/>
    <xf numFmtId="0" fontId="23" fillId="0" borderId="6" xfId="0" applyFont="1" applyBorder="1" applyAlignment="1">
      <alignment horizontal="center" vertical="center"/>
    </xf>
    <xf numFmtId="44" fontId="23" fillId="0" borderId="6" xfId="2" applyFont="1" applyFill="1" applyBorder="1" applyAlignment="1">
      <alignment horizontal="center" vertical="center"/>
    </xf>
    <xf numFmtId="44" fontId="21" fillId="0" borderId="6" xfId="2" applyFont="1" applyFill="1" applyBorder="1" applyAlignment="1" applyProtection="1">
      <alignment vertical="center"/>
    </xf>
    <xf numFmtId="44" fontId="21" fillId="0" borderId="6" xfId="2" applyFont="1" applyFill="1" applyBorder="1" applyAlignment="1">
      <alignment vertical="center"/>
    </xf>
    <xf numFmtId="0" fontId="21" fillId="0" borderId="6" xfId="0" applyFont="1" applyBorder="1" applyAlignment="1">
      <alignment horizontal="center" vertical="center"/>
    </xf>
    <xf numFmtId="44" fontId="21" fillId="0" borderId="6" xfId="2" applyFont="1" applyFill="1" applyBorder="1" applyAlignment="1" applyProtection="1">
      <alignment vertical="center"/>
      <protection locked="0"/>
    </xf>
    <xf numFmtId="44" fontId="22" fillId="6" borderId="6" xfId="2" applyFont="1" applyFill="1" applyBorder="1" applyAlignment="1" applyProtection="1">
      <alignment vertical="center"/>
      <protection locked="0"/>
    </xf>
    <xf numFmtId="44" fontId="23" fillId="0" borderId="6" xfId="2" applyFont="1" applyFill="1" applyBorder="1" applyAlignment="1" applyProtection="1">
      <alignment horizontal="center" vertical="center"/>
      <protection locked="0"/>
    </xf>
    <xf numFmtId="44" fontId="21" fillId="0" borderId="6" xfId="2" applyFont="1" applyFill="1" applyBorder="1" applyAlignment="1">
      <alignment horizontal="left" vertical="center"/>
    </xf>
    <xf numFmtId="3" fontId="21" fillId="0" borderId="6" xfId="0" applyNumberFormat="1" applyFont="1" applyBorder="1" applyAlignment="1">
      <alignment horizontal="center" vertical="center"/>
    </xf>
    <xf numFmtId="164" fontId="21" fillId="0" borderId="6" xfId="0" applyNumberFormat="1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/>
    </xf>
    <xf numFmtId="0" fontId="4" fillId="0" borderId="9" xfId="0" applyFont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20" fillId="0" borderId="7" xfId="0" applyFont="1" applyBorder="1" applyAlignment="1">
      <alignment vertical="center"/>
    </xf>
    <xf numFmtId="0" fontId="20" fillId="0" borderId="9" xfId="0" applyFont="1" applyBorder="1" applyAlignment="1">
      <alignment vertical="center"/>
    </xf>
    <xf numFmtId="0" fontId="20" fillId="0" borderId="8" xfId="0" applyFont="1" applyBorder="1" applyAlignment="1">
      <alignment vertical="center"/>
    </xf>
    <xf numFmtId="44" fontId="0" fillId="4" borderId="0" xfId="2" applyFont="1" applyFill="1" applyBorder="1" applyAlignment="1">
      <alignment horizontal="center" vertical="center"/>
    </xf>
    <xf numFmtId="44" fontId="0" fillId="2" borderId="0" xfId="2" applyFont="1" applyFill="1" applyBorder="1" applyAlignment="1">
      <alignment horizontal="center"/>
    </xf>
    <xf numFmtId="44" fontId="0" fillId="4" borderId="0" xfId="2" applyFont="1" applyFill="1" applyBorder="1" applyAlignment="1">
      <alignment horizontal="center"/>
    </xf>
    <xf numFmtId="44" fontId="0" fillId="2" borderId="0" xfId="2" applyFont="1" applyFill="1" applyBorder="1" applyAlignment="1">
      <alignment horizontal="center" vertical="center"/>
    </xf>
    <xf numFmtId="0" fontId="20" fillId="0" borderId="0" xfId="0" applyFont="1"/>
    <xf numFmtId="0" fontId="21" fillId="0" borderId="6" xfId="6" applyFont="1" applyBorder="1" applyAlignment="1">
      <alignment vertical="center"/>
    </xf>
    <xf numFmtId="0" fontId="20" fillId="0" borderId="0" xfId="0" applyFont="1" applyAlignment="1">
      <alignment vertical="center"/>
    </xf>
    <xf numFmtId="0" fontId="21" fillId="0" borderId="7" xfId="6" applyFont="1" applyBorder="1" applyAlignment="1">
      <alignment vertical="center"/>
    </xf>
    <xf numFmtId="0" fontId="20" fillId="0" borderId="0" xfId="0" applyFont="1" applyAlignment="1">
      <alignment horizontal="right" vertical="center"/>
    </xf>
    <xf numFmtId="170" fontId="23" fillId="0" borderId="6" xfId="6" applyNumberFormat="1" applyFont="1" applyBorder="1" applyAlignment="1">
      <alignment horizontal="center" vertical="center"/>
    </xf>
    <xf numFmtId="167" fontId="24" fillId="6" borderId="6" xfId="4" applyNumberFormat="1" applyFont="1" applyFill="1" applyBorder="1" applyAlignment="1">
      <alignment horizontal="left" vertical="center" shrinkToFit="1"/>
    </xf>
    <xf numFmtId="2" fontId="24" fillId="6" borderId="6" xfId="4" applyNumberFormat="1" applyFont="1" applyFill="1" applyBorder="1" applyAlignment="1">
      <alignment horizontal="center" vertical="center" shrinkToFit="1"/>
    </xf>
    <xf numFmtId="10" fontId="18" fillId="7" borderId="6" xfId="4" applyNumberFormat="1" applyFont="1" applyFill="1" applyBorder="1" applyAlignment="1">
      <alignment horizontal="center" vertical="center" shrinkToFit="1"/>
    </xf>
    <xf numFmtId="165" fontId="13" fillId="6" borderId="12" xfId="1" applyNumberFormat="1" applyFont="1" applyFill="1" applyBorder="1" applyAlignment="1">
      <alignment horizontal="center"/>
    </xf>
    <xf numFmtId="0" fontId="0" fillId="2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0" fontId="26" fillId="7" borderId="6" xfId="4" applyNumberFormat="1" applyFont="1" applyFill="1" applyBorder="1" applyAlignment="1">
      <alignment horizontal="center" vertical="center" shrinkToFit="1"/>
    </xf>
    <xf numFmtId="10" fontId="26" fillId="0" borderId="6" xfId="4" applyNumberFormat="1" applyFont="1" applyBorder="1" applyAlignment="1">
      <alignment horizontal="center" vertical="center" shrinkToFit="1"/>
    </xf>
    <xf numFmtId="0" fontId="25" fillId="0" borderId="0" xfId="0" applyFont="1" applyAlignment="1">
      <alignment horizontal="left"/>
    </xf>
    <xf numFmtId="44" fontId="26" fillId="7" borderId="6" xfId="2" applyFont="1" applyFill="1" applyBorder="1" applyAlignment="1">
      <alignment vertical="center"/>
    </xf>
    <xf numFmtId="0" fontId="19" fillId="2" borderId="6" xfId="0" applyFont="1" applyFill="1" applyBorder="1" applyAlignment="1">
      <alignment horizontal="left" vertical="center"/>
    </xf>
    <xf numFmtId="165" fontId="26" fillId="7" borderId="6" xfId="1" applyNumberFormat="1" applyFont="1" applyFill="1" applyBorder="1" applyAlignment="1">
      <alignment vertical="center"/>
    </xf>
    <xf numFmtId="0" fontId="24" fillId="6" borderId="6" xfId="0" applyFont="1" applyFill="1" applyBorder="1" applyAlignment="1">
      <alignment horizontal="center" vertical="center"/>
    </xf>
    <xf numFmtId="44" fontId="24" fillId="6" borderId="6" xfId="2" applyFont="1" applyFill="1" applyBorder="1" applyAlignment="1">
      <alignment vertical="center"/>
    </xf>
    <xf numFmtId="165" fontId="24" fillId="6" borderId="6" xfId="1" applyNumberFormat="1" applyFont="1" applyFill="1" applyBorder="1" applyAlignment="1">
      <alignment vertical="center"/>
    </xf>
    <xf numFmtId="165" fontId="24" fillId="6" borderId="6" xfId="1" applyNumberFormat="1" applyFont="1" applyFill="1" applyBorder="1" applyAlignment="1">
      <alignment horizontal="center" vertical="center"/>
    </xf>
    <xf numFmtId="0" fontId="23" fillId="7" borderId="6" xfId="6" applyFont="1" applyFill="1" applyBorder="1" applyAlignment="1">
      <alignment vertical="center"/>
    </xf>
    <xf numFmtId="0" fontId="23" fillId="7" borderId="6" xfId="6" applyFont="1" applyFill="1" applyBorder="1" applyAlignment="1">
      <alignment horizontal="center" vertical="center" wrapText="1"/>
    </xf>
    <xf numFmtId="0" fontId="21" fillId="0" borderId="7" xfId="6" applyFont="1" applyBorder="1" applyAlignment="1">
      <alignment vertical="center" wrapText="1"/>
    </xf>
    <xf numFmtId="169" fontId="23" fillId="0" borderId="6" xfId="6" applyNumberFormat="1" applyFont="1" applyBorder="1" applyAlignment="1">
      <alignment horizontal="center" vertical="center"/>
    </xf>
    <xf numFmtId="44" fontId="0" fillId="0" borderId="0" xfId="0" applyNumberFormat="1"/>
    <xf numFmtId="0" fontId="13" fillId="6" borderId="0" xfId="0" applyFont="1" applyFill="1" applyAlignment="1">
      <alignment horizontal="center" vertical="center"/>
    </xf>
    <xf numFmtId="49" fontId="17" fillId="8" borderId="0" xfId="4" applyNumberFormat="1" applyFont="1" applyFill="1" applyAlignment="1">
      <alignment horizontal="right" vertical="center" indent="1" shrinkToFit="1"/>
    </xf>
    <xf numFmtId="44" fontId="27" fillId="6" borderId="0" xfId="2" applyFont="1" applyFill="1" applyAlignment="1">
      <alignment horizontal="center" vertical="center" wrapText="1"/>
    </xf>
    <xf numFmtId="44" fontId="27" fillId="6" borderId="0" xfId="2" applyFont="1" applyFill="1" applyAlignment="1">
      <alignment horizontal="center" vertical="center"/>
    </xf>
    <xf numFmtId="0" fontId="17" fillId="8" borderId="11" xfId="4" applyFont="1" applyFill="1" applyBorder="1" applyAlignment="1">
      <alignment horizontal="left" vertical="center" shrinkToFit="1"/>
    </xf>
    <xf numFmtId="0" fontId="17" fillId="8" borderId="0" xfId="4" applyFont="1" applyFill="1" applyAlignment="1">
      <alignment horizontal="left" vertical="center" shrinkToFit="1"/>
    </xf>
    <xf numFmtId="0" fontId="23" fillId="7" borderId="7" xfId="6" applyFont="1" applyFill="1" applyBorder="1" applyAlignment="1">
      <alignment horizontal="center" vertical="center"/>
    </xf>
    <xf numFmtId="0" fontId="23" fillId="7" borderId="8" xfId="6" applyFont="1" applyFill="1" applyBorder="1" applyAlignment="1">
      <alignment horizontal="center" vertical="center"/>
    </xf>
    <xf numFmtId="0" fontId="20" fillId="0" borderId="6" xfId="0" applyFont="1" applyBorder="1" applyAlignment="1">
      <alignment horizontal="left" vertical="center"/>
    </xf>
    <xf numFmtId="0" fontId="26" fillId="2" borderId="0" xfId="0" applyFont="1" applyFill="1" applyAlignment="1">
      <alignment horizontal="center" vertical="center"/>
    </xf>
    <xf numFmtId="0" fontId="17" fillId="8" borderId="7" xfId="4" applyFont="1" applyFill="1" applyBorder="1" applyAlignment="1">
      <alignment horizontal="center" vertical="center" shrinkToFit="1"/>
    </xf>
    <xf numFmtId="0" fontId="17" fillId="8" borderId="8" xfId="4" applyFont="1" applyFill="1" applyBorder="1" applyAlignment="1">
      <alignment horizontal="center" vertical="center" shrinkToFit="1"/>
    </xf>
    <xf numFmtId="0" fontId="26" fillId="0" borderId="0" xfId="0" applyFont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0" fontId="23" fillId="0" borderId="6" xfId="0" applyFont="1" applyBorder="1" applyAlignment="1">
      <alignment horizontal="center" vertical="center"/>
    </xf>
    <xf numFmtId="44" fontId="20" fillId="0" borderId="6" xfId="2" applyFont="1" applyFill="1" applyBorder="1" applyAlignment="1">
      <alignment horizontal="left" vertical="center"/>
    </xf>
    <xf numFmtId="0" fontId="21" fillId="0" borderId="6" xfId="0" applyFont="1" applyBorder="1" applyAlignment="1">
      <alignment horizontal="left" vertical="center"/>
    </xf>
    <xf numFmtId="0" fontId="23" fillId="0" borderId="6" xfId="0" applyFont="1" applyBorder="1" applyAlignment="1">
      <alignment horizontal="center" vertical="center" wrapText="1"/>
    </xf>
    <xf numFmtId="0" fontId="23" fillId="0" borderId="6" xfId="0" applyFont="1" applyBorder="1" applyAlignment="1">
      <alignment horizontal="right" vertical="center"/>
    </xf>
    <xf numFmtId="0" fontId="21" fillId="0" borderId="6" xfId="0" applyFont="1" applyBorder="1" applyAlignment="1">
      <alignment horizontal="center" vertical="center"/>
    </xf>
    <xf numFmtId="0" fontId="17" fillId="8" borderId="9" xfId="4" applyFont="1" applyFill="1" applyBorder="1" applyAlignment="1">
      <alignment horizontal="center" vertical="center" shrinkToFit="1"/>
    </xf>
    <xf numFmtId="9" fontId="21" fillId="0" borderId="6" xfId="0" applyNumberFormat="1" applyFont="1" applyBorder="1" applyAlignment="1" applyProtection="1">
      <alignment horizontal="center" vertical="center"/>
      <protection locked="0"/>
    </xf>
    <xf numFmtId="0" fontId="21" fillId="0" borderId="6" xfId="0" applyFont="1" applyBorder="1" applyAlignment="1" applyProtection="1">
      <alignment horizontal="left" vertical="center"/>
      <protection locked="0"/>
    </xf>
    <xf numFmtId="167" fontId="18" fillId="7" borderId="7" xfId="4" applyNumberFormat="1" applyFont="1" applyFill="1" applyBorder="1" applyAlignment="1">
      <alignment horizontal="center" vertical="center" shrinkToFit="1"/>
    </xf>
    <xf numFmtId="167" fontId="18" fillId="7" borderId="8" xfId="4" applyNumberFormat="1" applyFont="1" applyFill="1" applyBorder="1" applyAlignment="1">
      <alignment horizontal="center" vertical="center" shrinkToFit="1"/>
    </xf>
    <xf numFmtId="0" fontId="24" fillId="6" borderId="6" xfId="0" applyFont="1" applyFill="1" applyBorder="1" applyAlignment="1">
      <alignment horizontal="center" vertical="center"/>
    </xf>
    <xf numFmtId="0" fontId="20" fillId="7" borderId="6" xfId="0" applyFont="1" applyFill="1" applyBorder="1" applyAlignment="1">
      <alignment horizontal="left" vertical="center"/>
    </xf>
    <xf numFmtId="165" fontId="19" fillId="0" borderId="6" xfId="1" applyNumberFormat="1" applyFont="1" applyFill="1" applyBorder="1" applyAlignment="1">
      <alignment horizontal="center" vertical="center"/>
    </xf>
    <xf numFmtId="0" fontId="20" fillId="7" borderId="6" xfId="0" applyFont="1" applyFill="1" applyBorder="1" applyAlignment="1">
      <alignment vertical="center"/>
    </xf>
    <xf numFmtId="0" fontId="20" fillId="0" borderId="6" xfId="0" applyFont="1" applyBorder="1" applyAlignment="1">
      <alignment vertical="center"/>
    </xf>
    <xf numFmtId="165" fontId="3" fillId="0" borderId="6" xfId="1" applyNumberFormat="1" applyFont="1" applyFill="1" applyBorder="1" applyAlignment="1">
      <alignment horizontal="center" vertical="center"/>
    </xf>
    <xf numFmtId="49" fontId="28" fillId="8" borderId="0" xfId="4" applyNumberFormat="1" applyFont="1" applyFill="1" applyAlignment="1">
      <alignment horizontal="right" vertical="center" indent="1" shrinkToFit="1"/>
    </xf>
  </cellXfs>
  <cellStyles count="7">
    <cellStyle name="Moeda" xfId="2" builtinId="4"/>
    <cellStyle name="Normal" xfId="0" builtinId="0"/>
    <cellStyle name="Normal 3" xfId="4"/>
    <cellStyle name="Normal_Calculo_Tab._Generalidades" xfId="6"/>
    <cellStyle name="Porcentagem" xfId="3" builtinId="5"/>
    <cellStyle name="Vírgula" xfId="1" builtinId="3"/>
    <cellStyle name="Vírgula 2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0</xdr:row>
      <xdr:rowOff>123825</xdr:rowOff>
    </xdr:from>
    <xdr:to>
      <xdr:col>5</xdr:col>
      <xdr:colOff>460267</xdr:colOff>
      <xdr:row>2</xdr:row>
      <xdr:rowOff>63465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123825"/>
          <a:ext cx="1936642" cy="3206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0</xdr:row>
      <xdr:rowOff>123825</xdr:rowOff>
    </xdr:from>
    <xdr:to>
      <xdr:col>3</xdr:col>
      <xdr:colOff>869842</xdr:colOff>
      <xdr:row>2</xdr:row>
      <xdr:rowOff>63465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0" y="123825"/>
          <a:ext cx="1936642" cy="32064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0</xdr:row>
      <xdr:rowOff>123825</xdr:rowOff>
    </xdr:from>
    <xdr:to>
      <xdr:col>1</xdr:col>
      <xdr:colOff>1974742</xdr:colOff>
      <xdr:row>1</xdr:row>
      <xdr:rowOff>282540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xmlns="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0" y="123825"/>
          <a:ext cx="1936642" cy="32064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X42"/>
  <sheetViews>
    <sheetView showGridLines="0" tabSelected="1" zoomScaleNormal="100" zoomScaleSheetLayoutView="100" workbookViewId="0">
      <selection activeCell="Y13" sqref="Y13"/>
    </sheetView>
  </sheetViews>
  <sheetFormatPr defaultColWidth="9.140625" defaultRowHeight="15" x14ac:dyDescent="0.25"/>
  <cols>
    <col min="1" max="1" width="3.5703125" style="5" customWidth="1"/>
    <col min="2" max="2" width="10.7109375" style="48" customWidth="1"/>
    <col min="3" max="3" width="0.85546875" style="15" customWidth="1"/>
    <col min="4" max="4" width="10.7109375" style="49" customWidth="1"/>
    <col min="5" max="5" width="0.85546875" style="8" customWidth="1"/>
    <col min="6" max="6" width="13.7109375" style="9" customWidth="1"/>
    <col min="7" max="7" width="0.85546875" style="15" customWidth="1"/>
    <col min="8" max="8" width="13.7109375" style="9" customWidth="1"/>
    <col min="9" max="9" width="0.85546875" style="15" customWidth="1"/>
    <col min="10" max="10" width="13.7109375" style="9" customWidth="1"/>
    <col min="11" max="11" width="0.85546875" style="15" customWidth="1"/>
    <col min="12" max="12" width="13.7109375" style="9" customWidth="1"/>
    <col min="13" max="13" width="0.85546875" style="15" customWidth="1"/>
    <col min="14" max="14" width="13.7109375" style="9" customWidth="1"/>
    <col min="15" max="15" width="0.85546875" style="15" customWidth="1"/>
    <col min="16" max="16" width="13.7109375" style="9" customWidth="1"/>
    <col min="17" max="17" width="0.85546875" style="16" customWidth="1"/>
    <col min="18" max="18" width="13.7109375" style="9" hidden="1" customWidth="1"/>
    <col min="19" max="19" width="0.85546875" style="5" hidden="1" customWidth="1"/>
    <col min="20" max="21" width="0" style="5" hidden="1" customWidth="1"/>
    <col min="22" max="16384" width="9.140625" style="5"/>
  </cols>
  <sheetData>
    <row r="3" spans="2:24" ht="15" customHeight="1" x14ac:dyDescent="0.25"/>
    <row r="4" spans="2:24" ht="27.75" customHeight="1" x14ac:dyDescent="0.3">
      <c r="B4" s="182" t="s">
        <v>122</v>
      </c>
      <c r="C4" s="182"/>
      <c r="D4" s="182"/>
      <c r="E4" s="182"/>
      <c r="F4" s="182"/>
      <c r="G4" s="182"/>
      <c r="H4" s="182"/>
      <c r="I4" s="182"/>
      <c r="J4" s="182"/>
      <c r="K4" s="182"/>
      <c r="L4" s="182"/>
      <c r="M4" s="182"/>
      <c r="N4" s="182"/>
      <c r="O4" s="211" t="s">
        <v>158</v>
      </c>
      <c r="P4" s="211"/>
      <c r="Q4" s="53"/>
      <c r="R4" s="51"/>
    </row>
    <row r="5" spans="2:24" ht="4.5" customHeight="1" x14ac:dyDescent="0.25"/>
    <row r="6" spans="2:24" x14ac:dyDescent="0.25">
      <c r="B6" s="180" t="s">
        <v>47</v>
      </c>
      <c r="C6" s="54"/>
      <c r="D6" s="180" t="s">
        <v>48</v>
      </c>
      <c r="E6" s="55"/>
      <c r="F6" s="63" t="s">
        <v>4</v>
      </c>
      <c r="G6" s="54"/>
      <c r="H6" s="64" t="s">
        <v>5</v>
      </c>
      <c r="I6" s="54"/>
      <c r="J6" s="64" t="s">
        <v>6</v>
      </c>
      <c r="K6" s="54"/>
      <c r="L6" s="64" t="s">
        <v>6</v>
      </c>
      <c r="M6" s="54"/>
      <c r="N6" s="64" t="s">
        <v>7</v>
      </c>
      <c r="O6" s="54"/>
      <c r="P6" s="64" t="s">
        <v>8</v>
      </c>
    </row>
    <row r="7" spans="2:24" ht="15.75" thickBot="1" x14ac:dyDescent="0.3">
      <c r="B7" s="180"/>
      <c r="C7" s="56"/>
      <c r="D7" s="180"/>
      <c r="E7" s="55"/>
      <c r="F7" s="65" t="s">
        <v>123</v>
      </c>
      <c r="G7" s="56"/>
      <c r="H7" s="162" t="s">
        <v>124</v>
      </c>
      <c r="I7" s="56"/>
      <c r="J7" s="162" t="s">
        <v>125</v>
      </c>
      <c r="K7" s="56"/>
      <c r="L7" s="162" t="s">
        <v>126</v>
      </c>
      <c r="M7" s="56"/>
      <c r="N7" s="162" t="s">
        <v>127</v>
      </c>
      <c r="O7" s="56"/>
      <c r="P7" s="162" t="s">
        <v>128</v>
      </c>
      <c r="Q7" s="15"/>
      <c r="R7" s="52" t="s">
        <v>71</v>
      </c>
      <c r="T7" s="25" t="s">
        <v>68</v>
      </c>
      <c r="U7" s="26">
        <f>'TX E MARKUP'!C17</f>
        <v>1.9542700801250732</v>
      </c>
    </row>
    <row r="8" spans="2:24" x14ac:dyDescent="0.25">
      <c r="B8" s="163">
        <v>0</v>
      </c>
      <c r="C8" s="59"/>
      <c r="D8" s="163">
        <v>50</v>
      </c>
      <c r="E8" s="2"/>
      <c r="F8" s="60">
        <f>(LOCAL_EQUIPE!E$21+LOCAL_VEÍCULO!E$57+EMBALAGEM!F$21)*$U$9</f>
        <v>3299.611558673636</v>
      </c>
      <c r="G8" s="59"/>
      <c r="H8" s="60">
        <f>(LOCAL_EQUIPE!G$21+LOCAL_VEÍCULO!G$57+EMBALAGEM!H$21)*$U$9</f>
        <v>6600.0290250856197</v>
      </c>
      <c r="I8" s="59"/>
      <c r="J8" s="60">
        <f>(LOCAL_EQUIPE!I$21+LOCAL_VEÍCULO!I$57+EMBALAGEM!J$21)*$U$9</f>
        <v>8284.0086358818025</v>
      </c>
      <c r="K8" s="59"/>
      <c r="L8" s="60">
        <f>(LOCAL_EQUIPE!K$21+LOCAL_VEÍCULO!K$57+EMBALAGEM!L$21)*$U$9</f>
        <v>12066.01468346</v>
      </c>
      <c r="M8" s="59"/>
      <c r="N8" s="60">
        <f>(LOCAL_EQUIPE!M$21+LOCAL_VEÍCULO!M$57+EMBALAGEM!N$21)*$U$9</f>
        <v>13666.248809288756</v>
      </c>
      <c r="O8" s="59"/>
      <c r="P8" s="60">
        <f>(LOCAL_EQUIPE!O$21+LOCAL_VEÍCULO!O$57+EMBALAGEM!P$21)*$U$9</f>
        <v>18783.277496722294</v>
      </c>
      <c r="R8" s="22">
        <v>1</v>
      </c>
      <c r="T8" s="27" t="s">
        <v>76</v>
      </c>
      <c r="U8" s="28"/>
    </row>
    <row r="9" spans="2:24" ht="15.75" thickBot="1" x14ac:dyDescent="0.3">
      <c r="B9" s="164">
        <v>51</v>
      </c>
      <c r="C9" s="59"/>
      <c r="D9" s="164">
        <v>100</v>
      </c>
      <c r="E9" s="2"/>
      <c r="F9" s="61">
        <f>(INTER_EQUIPE!E$13+INTER_VEÍCULO!E$33+('HORA PARADA_VEÍCULO'!E$9*$R9)+('CUSTO KM_VEÍCULO'!E$9*$D9)+EMBALAGEM!F$21+ENTREGA!E$4)*$U$7</f>
        <v>4930.8747934112525</v>
      </c>
      <c r="G9" s="59"/>
      <c r="H9" s="61">
        <f>(INTER_EQUIPE!G$13+INTER_VEÍCULO!G$33+('HORA PARADA_VEÍCULO'!G$9*$R9)+('CUSTO KM_VEÍCULO'!G$9*$D9)+EMBALAGEM!H$21+ENTREGA!G$4)*$U$7</f>
        <v>8836.8521653775952</v>
      </c>
      <c r="I9" s="59"/>
      <c r="J9" s="61">
        <f>(INTER_EQUIPE!I$13+INTER_VEÍCULO!I$33+('HORA PARADA_VEÍCULO'!I$9*$R9)+('CUSTO KM_VEÍCULO'!I$9*$D9)+EMBALAGEM!J$21+ENTREGA!I$4)*$U$7</f>
        <v>10906.561456497848</v>
      </c>
      <c r="K9" s="59"/>
      <c r="L9" s="61">
        <f>(INTER_EQUIPE!K$13+INTER_VEÍCULO!K$33+('HORA PARADA_VEÍCULO'!K$9*$R9)+('CUSTO KM_VEÍCULO'!K$9*$D9)+EMBALAGEM!L$21+ENTREGA!K$4)*$U$7</f>
        <v>13781.365188014353</v>
      </c>
      <c r="M9" s="59"/>
      <c r="N9" s="61">
        <f>(INTER_EQUIPE!M$13+INTER_VEÍCULO!M$33+('HORA PARADA_VEÍCULO'!M$9*$R9)+('CUSTO KM_VEÍCULO'!M$9*$D9)+EMBALAGEM!N$21+ENTREGA!M$4)*$U$7</f>
        <v>16604.83580179475</v>
      </c>
      <c r="O9" s="59"/>
      <c r="P9" s="61">
        <f>(INTER_EQUIPE!O$13+INTER_VEÍCULO!O$33+('HORA PARADA_VEÍCULO'!O$9*$R9)+('CUSTO KM_VEÍCULO'!O$9*$D9)+EMBALAGEM!P$21+ENTREGA!O$4)*$U$7</f>
        <v>20823.145453962814</v>
      </c>
      <c r="R9" s="23">
        <v>1</v>
      </c>
      <c r="T9" s="25" t="s">
        <v>68</v>
      </c>
      <c r="U9" s="26">
        <f>'TX E MARKUP'!C16</f>
        <v>1.8597731076808628</v>
      </c>
      <c r="V9" s="9"/>
      <c r="W9" s="9"/>
      <c r="X9" s="9"/>
    </row>
    <row r="10" spans="2:24" x14ac:dyDescent="0.25">
      <c r="B10" s="163">
        <v>101</v>
      </c>
      <c r="C10" s="59"/>
      <c r="D10" s="163">
        <v>200</v>
      </c>
      <c r="E10" s="2"/>
      <c r="F10" s="60">
        <f>(INTER_EQUIPE!E$13+INTER_VEÍCULO!E$33+('HORA PARADA_VEÍCULO'!E$9*$R10)+('CUSTO KM_VEÍCULO'!E$9*$D10)+EMBALAGEM!F$21+ENTREGA!E$4)*$U$7</f>
        <v>5219.0358252658543</v>
      </c>
      <c r="G10" s="59"/>
      <c r="H10" s="60">
        <f>(INTER_EQUIPE!G$13+INTER_VEÍCULO!G$33+('HORA PARADA_VEÍCULO'!G$9*$R10)+('CUSTO KM_VEÍCULO'!G$9*$D10)+EMBALAGEM!H$21+ENTREGA!G$4)*$U$7</f>
        <v>9146.6236525771255</v>
      </c>
      <c r="I10" s="59"/>
      <c r="J10" s="60">
        <f>(INTER_EQUIPE!I$13+INTER_VEÍCULO!I$33+('HORA PARADA_VEÍCULO'!I$9*$R10)+('CUSTO KM_VEÍCULO'!I$9*$D10)+EMBALAGEM!J$21+ENTREGA!I$4)*$U$7</f>
        <v>11265.518098875729</v>
      </c>
      <c r="K10" s="59"/>
      <c r="L10" s="60">
        <f>(INTER_EQUIPE!K$13+INTER_VEÍCULO!K$33+('HORA PARADA_VEÍCULO'!K$9*$R10)+('CUSTO KM_VEÍCULO'!K$9*$D10)+EMBALAGEM!L$21+ENTREGA!K$4)*$U$7</f>
        <v>14140.321830392235</v>
      </c>
      <c r="M10" s="59"/>
      <c r="N10" s="60">
        <f>(INTER_EQUIPE!M$13+INTER_VEÍCULO!M$33+('HORA PARADA_VEÍCULO'!M$9*$R10)+('CUSTO KM_VEÍCULO'!M$9*$D10)+EMBALAGEM!N$21+ENTREGA!M$4)*$U$7</f>
        <v>17034.207922736146</v>
      </c>
      <c r="O10" s="59"/>
      <c r="P10" s="60">
        <f>(INTER_EQUIPE!O$13+INTER_VEÍCULO!O$33+('HORA PARADA_VEÍCULO'!O$9*$R10)+('CUSTO KM_VEÍCULO'!O$9*$D10)+EMBALAGEM!P$21+ENTREGA!O$4)*$U$7</f>
        <v>21313.619299314909</v>
      </c>
      <c r="R10" s="22">
        <v>1</v>
      </c>
      <c r="T10" s="27" t="s">
        <v>77</v>
      </c>
      <c r="U10" s="28"/>
      <c r="V10" s="9"/>
      <c r="W10" s="9"/>
      <c r="X10" s="9"/>
    </row>
    <row r="11" spans="2:24" x14ac:dyDescent="0.25">
      <c r="B11" s="164">
        <v>201</v>
      </c>
      <c r="C11" s="59"/>
      <c r="D11" s="164">
        <v>300</v>
      </c>
      <c r="E11" s="2"/>
      <c r="F11" s="61">
        <f>(INTER_EQUIPE!E$13+INTER_VEÍCULO!E$33+('HORA PARADA_VEÍCULO'!E$9*$R11)+('CUSTO KM_VEÍCULO'!E$9*$D11)+EMBALAGEM!F$21+ENTREGA!E$4)*$U$7</f>
        <v>6358.7455141970377</v>
      </c>
      <c r="G11" s="59"/>
      <c r="H11" s="61">
        <f>(INTER_EQUIPE!G$13+INTER_VEÍCULO!G$33+('HORA PARADA_VEÍCULO'!G$9*$R11)+('CUSTO KM_VEÍCULO'!G$9*$D11)+EMBALAGEM!H$21+ENTREGA!G$4)*$U$7</f>
        <v>10411.51244947285</v>
      </c>
      <c r="I11" s="59"/>
      <c r="J11" s="61">
        <f>(INTER_EQUIPE!I$13+INTER_VEÍCULO!I$33+('HORA PARADA_VEÍCULO'!I$9*$R11)+('CUSTO KM_VEÍCULO'!I$9*$D11)+EMBALAGEM!J$21+ENTREGA!I$4)*$U$7</f>
        <v>12517.888638083599</v>
      </c>
      <c r="K11" s="59"/>
      <c r="L11" s="61">
        <f>(INTER_EQUIPE!K$13+INTER_VEÍCULO!K$33+('HORA PARADA_VEÍCULO'!K$9*$R11)+('CUSTO KM_VEÍCULO'!K$9*$D11)+EMBALAGEM!L$21+ENTREGA!K$4)*$U$7</f>
        <v>15392.692369600105</v>
      </c>
      <c r="M11" s="59"/>
      <c r="N11" s="61">
        <f>(INTER_EQUIPE!M$13+INTER_VEÍCULO!M$33+('HORA PARADA_VEÍCULO'!M$9*$R11)+('CUSTO KM_VEÍCULO'!M$9*$D11)+EMBALAGEM!N$21+ENTREGA!M$4)*$U$7</f>
        <v>18608.713365063828</v>
      </c>
      <c r="O11" s="59"/>
      <c r="P11" s="61">
        <f>(INTER_EQUIPE!O$13+INTER_VEÍCULO!O$33+('HORA PARADA_VEÍCULO'!O$9*$R11)+('CUSTO KM_VEÍCULO'!O$9*$D11)+EMBALAGEM!P$21+ENTREGA!O$4)*$U$7</f>
        <v>22964.216605872425</v>
      </c>
      <c r="R11" s="23">
        <v>2</v>
      </c>
      <c r="T11" s="9"/>
      <c r="U11" s="9"/>
      <c r="V11" s="9"/>
      <c r="W11" s="9"/>
      <c r="X11" s="9"/>
    </row>
    <row r="12" spans="2:24" x14ac:dyDescent="0.25">
      <c r="B12" s="163">
        <v>301</v>
      </c>
      <c r="C12" s="59"/>
      <c r="D12" s="163">
        <v>400</v>
      </c>
      <c r="E12" s="2"/>
      <c r="F12" s="60">
        <f>(INTER_EQUIPE!E$13+INTER_VEÍCULO!E$33+('HORA PARADA_VEÍCULO'!E$9*$R12)+('CUSTO KM_VEÍCULO'!E$9*$D12)+EMBALAGEM!F$21+ENTREGA!E$4)*$U$7</f>
        <v>6646.9065460516404</v>
      </c>
      <c r="G12" s="59"/>
      <c r="H12" s="60">
        <f>(INTER_EQUIPE!G$13+INTER_VEÍCULO!G$33+('HORA PARADA_VEÍCULO'!G$9*$R12)+('CUSTO KM_VEÍCULO'!G$9*$D12)+EMBALAGEM!H$21+ENTREGA!G$4)*$U$7</f>
        <v>10721.283936672382</v>
      </c>
      <c r="I12" s="59"/>
      <c r="J12" s="60">
        <f>(INTER_EQUIPE!I$13+INTER_VEÍCULO!I$33+('HORA PARADA_VEÍCULO'!I$9*$R12)+('CUSTO KM_VEÍCULO'!I$9*$D12)+EMBALAGEM!J$21+ENTREGA!I$4)*$U$7</f>
        <v>12876.845280461481</v>
      </c>
      <c r="K12" s="59"/>
      <c r="L12" s="60">
        <f>(INTER_EQUIPE!K$13+INTER_VEÍCULO!K$33+('HORA PARADA_VEÍCULO'!K$9*$R12)+('CUSTO KM_VEÍCULO'!K$9*$D12)+EMBALAGEM!L$21+ENTREGA!K$4)*$U$7</f>
        <v>15751.649011977986</v>
      </c>
      <c r="M12" s="59"/>
      <c r="N12" s="60">
        <f>(INTER_EQUIPE!M$13+INTER_VEÍCULO!M$33+('HORA PARADA_VEÍCULO'!M$9*$R12)+('CUSTO KM_VEÍCULO'!M$9*$D12)+EMBALAGEM!N$21+ENTREGA!M$4)*$U$7</f>
        <v>19038.085486005231</v>
      </c>
      <c r="O12" s="59"/>
      <c r="P12" s="60">
        <f>(INTER_EQUIPE!O$13+INTER_VEÍCULO!O$33+('HORA PARADA_VEÍCULO'!O$9*$R12)+('CUSTO KM_VEÍCULO'!O$9*$D12)+EMBALAGEM!P$21+ENTREGA!O$4)*$U$7</f>
        <v>23454.690451224516</v>
      </c>
      <c r="R12" s="22">
        <v>2</v>
      </c>
      <c r="T12" s="9"/>
      <c r="U12" s="9"/>
      <c r="V12" s="9"/>
      <c r="W12" s="9"/>
      <c r="X12" s="9"/>
    </row>
    <row r="13" spans="2:24" x14ac:dyDescent="0.25">
      <c r="B13" s="164">
        <v>401</v>
      </c>
      <c r="C13" s="59"/>
      <c r="D13" s="164">
        <v>500</v>
      </c>
      <c r="E13" s="2"/>
      <c r="F13" s="61">
        <f>(INTER_EQUIPE!E$13+INTER_VEÍCULO!E$33+('HORA PARADA_VEÍCULO'!E$9*$R13)+('CUSTO KM_VEÍCULO'!E$9*$D13)+EMBALAGEM!F$21+ENTREGA!E$4)*$U$7</f>
        <v>6935.0675779062431</v>
      </c>
      <c r="G13" s="59"/>
      <c r="H13" s="61">
        <f>(INTER_EQUIPE!G$13+INTER_VEÍCULO!G$33+('HORA PARADA_VEÍCULO'!G$9*$R13)+('CUSTO KM_VEÍCULO'!G$9*$D13)+EMBALAGEM!H$21+ENTREGA!G$4)*$U$7</f>
        <v>11031.055423871911</v>
      </c>
      <c r="I13" s="59"/>
      <c r="J13" s="61">
        <f>(INTER_EQUIPE!I$13+INTER_VEÍCULO!I$33+('HORA PARADA_VEÍCULO'!I$9*$R13)+('CUSTO KM_VEÍCULO'!I$9*$D13)+EMBALAGEM!J$21+ENTREGA!I$4)*$U$7</f>
        <v>13235.80192283936</v>
      </c>
      <c r="K13" s="59"/>
      <c r="L13" s="61">
        <f>(INTER_EQUIPE!K$13+INTER_VEÍCULO!K$33+('HORA PARADA_VEÍCULO'!K$9*$R13)+('CUSTO KM_VEÍCULO'!K$9*$D13)+EMBALAGEM!L$21+ENTREGA!K$4)*$U$7</f>
        <v>16110.605654355866</v>
      </c>
      <c r="M13" s="59"/>
      <c r="N13" s="61">
        <f>(INTER_EQUIPE!M$13+INTER_VEÍCULO!M$33+('HORA PARADA_VEÍCULO'!M$9*$R13)+('CUSTO KM_VEÍCULO'!M$9*$D13)+EMBALAGEM!N$21+ENTREGA!M$4)*$U$7</f>
        <v>19467.457606946631</v>
      </c>
      <c r="O13" s="59"/>
      <c r="P13" s="61">
        <f>(INTER_EQUIPE!O$13+INTER_VEÍCULO!O$33+('HORA PARADA_VEÍCULO'!O$9*$R13)+('CUSTO KM_VEÍCULO'!O$9*$D13)+EMBALAGEM!P$21+ENTREGA!O$4)*$U$7</f>
        <v>23945.164296576611</v>
      </c>
      <c r="R13" s="23">
        <v>2</v>
      </c>
      <c r="T13" s="9"/>
      <c r="U13" s="9"/>
      <c r="V13" s="9"/>
      <c r="W13" s="9"/>
      <c r="X13" s="9"/>
    </row>
    <row r="14" spans="2:24" x14ac:dyDescent="0.25">
      <c r="B14" s="163">
        <v>501</v>
      </c>
      <c r="C14" s="59"/>
      <c r="D14" s="163">
        <v>600</v>
      </c>
      <c r="E14" s="2"/>
      <c r="F14" s="60">
        <f>(INTER_EQUIPE!E$13+INTER_VEÍCULO!E$33+('HORA PARADA_VEÍCULO'!E$9*$R14)+('CUSTO KM_VEÍCULO'!E$9*$D14)+EMBALAGEM!F$21+ENTREGA!E$4)*$U$7</f>
        <v>7223.2286097608448</v>
      </c>
      <c r="G14" s="59"/>
      <c r="H14" s="60">
        <f>(INTER_EQUIPE!G$13+INTER_VEÍCULO!G$33+('HORA PARADA_VEÍCULO'!G$9*$R14)+('CUSTO KM_VEÍCULO'!G$9*$D14)+EMBALAGEM!H$21+ENTREGA!G$4)*$U$7</f>
        <v>11340.826911071443</v>
      </c>
      <c r="I14" s="59"/>
      <c r="J14" s="60">
        <f>(INTER_EQUIPE!I$13+INTER_VEÍCULO!I$33+('HORA PARADA_VEÍCULO'!I$9*$R14)+('CUSTO KM_VEÍCULO'!I$9*$D14)+EMBALAGEM!J$21+ENTREGA!I$4)*$U$7</f>
        <v>13594.758565217242</v>
      </c>
      <c r="K14" s="59"/>
      <c r="L14" s="60">
        <f>(INTER_EQUIPE!K$13+INTER_VEÍCULO!K$33+('HORA PARADA_VEÍCULO'!K$9*$R14)+('CUSTO KM_VEÍCULO'!K$9*$D14)+EMBALAGEM!L$21+ENTREGA!K$4)*$U$7</f>
        <v>16469.562296733748</v>
      </c>
      <c r="M14" s="59"/>
      <c r="N14" s="60">
        <f>(INTER_EQUIPE!M$13+INTER_VEÍCULO!M$33+('HORA PARADA_VEÍCULO'!M$9*$R14)+('CUSTO KM_VEÍCULO'!M$9*$D14)+EMBALAGEM!N$21+ENTREGA!M$4)*$U$7</f>
        <v>19896.829727888031</v>
      </c>
      <c r="O14" s="59"/>
      <c r="P14" s="60">
        <f>(INTER_EQUIPE!O$13+INTER_VEÍCULO!O$33+('HORA PARADA_VEÍCULO'!O$9*$R14)+('CUSTO KM_VEÍCULO'!O$9*$D14)+EMBALAGEM!P$21+ENTREGA!O$4)*$U$7</f>
        <v>24435.638141928706</v>
      </c>
      <c r="R14" s="22">
        <v>2</v>
      </c>
      <c r="T14" s="9"/>
      <c r="U14" s="9"/>
      <c r="V14" s="9"/>
      <c r="W14" s="9"/>
      <c r="X14" s="9"/>
    </row>
    <row r="15" spans="2:24" x14ac:dyDescent="0.25">
      <c r="B15" s="164">
        <v>601</v>
      </c>
      <c r="C15" s="59"/>
      <c r="D15" s="164">
        <v>700</v>
      </c>
      <c r="E15" s="2"/>
      <c r="F15" s="61">
        <f>(INTER_EQUIPE!E$13+INTER_VEÍCULO!E$33+('HORA PARADA_VEÍCULO'!E$9*$R15)+('CUSTO KM_VEÍCULO'!E$9*$D15)+EMBALAGEM!F$21+ENTREGA!E$4)*$U$7</f>
        <v>7511.3896416154466</v>
      </c>
      <c r="G15" s="59"/>
      <c r="H15" s="61">
        <f>(INTER_EQUIPE!G$13+INTER_VEÍCULO!G$33+('HORA PARADA_VEÍCULO'!G$9*$R15)+('CUSTO KM_VEÍCULO'!G$9*$D15)+EMBALAGEM!H$21+ENTREGA!G$4)*$U$7</f>
        <v>11650.598398270973</v>
      </c>
      <c r="I15" s="59"/>
      <c r="J15" s="61">
        <f>(INTER_EQUIPE!I$13+INTER_VEÍCULO!I$33+('HORA PARADA_VEÍCULO'!I$9*$R15)+('CUSTO KM_VEÍCULO'!I$9*$D15)+EMBALAGEM!J$21+ENTREGA!I$4)*$U$7</f>
        <v>13953.715207595127</v>
      </c>
      <c r="K15" s="59"/>
      <c r="L15" s="61">
        <f>(INTER_EQUIPE!K$13+INTER_VEÍCULO!K$33+('HORA PARADA_VEÍCULO'!K$9*$R15)+('CUSTO KM_VEÍCULO'!K$9*$D15)+EMBALAGEM!L$21+ENTREGA!K$4)*$U$7</f>
        <v>16828.518939111633</v>
      </c>
      <c r="M15" s="59"/>
      <c r="N15" s="61">
        <f>(INTER_EQUIPE!M$13+INTER_VEÍCULO!M$33+('HORA PARADA_VEÍCULO'!M$9*$R15)+('CUSTO KM_VEÍCULO'!M$9*$D15)+EMBALAGEM!N$21+ENTREGA!M$4)*$U$7</f>
        <v>20326.201848829427</v>
      </c>
      <c r="O15" s="59"/>
      <c r="P15" s="61">
        <f>(INTER_EQUIPE!O$13+INTER_VEÍCULO!O$33+('HORA PARADA_VEÍCULO'!O$9*$R15)+('CUSTO KM_VEÍCULO'!O$9*$D15)+EMBALAGEM!P$21+ENTREGA!O$4)*$U$7</f>
        <v>24926.111987280801</v>
      </c>
      <c r="R15" s="23">
        <v>2</v>
      </c>
      <c r="T15" s="9"/>
      <c r="U15" s="9"/>
      <c r="V15" s="9"/>
      <c r="W15" s="9"/>
      <c r="X15" s="9"/>
    </row>
    <row r="16" spans="2:24" x14ac:dyDescent="0.25">
      <c r="B16" s="163">
        <v>701</v>
      </c>
      <c r="C16" s="59"/>
      <c r="D16" s="163">
        <v>800</v>
      </c>
      <c r="E16" s="2"/>
      <c r="F16" s="60">
        <f>(INTER_EQUIPE!E$13+INTER_VEÍCULO!E$33+('HORA PARADA_VEÍCULO'!E$9*$R16)+('CUSTO KM_VEÍCULO'!E$9*$D16)+EMBALAGEM!F$21+ENTREGA!E$4)*$U$7</f>
        <v>8651.0993305466327</v>
      </c>
      <c r="G16" s="59"/>
      <c r="H16" s="60">
        <f>(INTER_EQUIPE!G$13+INTER_VEÍCULO!G$33+('HORA PARADA_VEÍCULO'!G$9*$R16)+('CUSTO KM_VEÍCULO'!G$9*$D16)+EMBALAGEM!H$21+ENTREGA!G$4)*$U$7</f>
        <v>12915.487195166696</v>
      </c>
      <c r="I16" s="59"/>
      <c r="J16" s="60">
        <f>(INTER_EQUIPE!I$13+INTER_VEÍCULO!I$33+('HORA PARADA_VEÍCULO'!I$9*$R16)+('CUSTO KM_VEÍCULO'!I$9*$D16)+EMBALAGEM!J$21+ENTREGA!I$4)*$U$7</f>
        <v>15206.085746802995</v>
      </c>
      <c r="K16" s="59"/>
      <c r="L16" s="60">
        <f>(INTER_EQUIPE!K$13+INTER_VEÍCULO!K$33+('HORA PARADA_VEÍCULO'!K$9*$R16)+('CUSTO KM_VEÍCULO'!K$9*$D16)+EMBALAGEM!L$21+ENTREGA!K$4)*$U$7</f>
        <v>18080.889478319499</v>
      </c>
      <c r="M16" s="59"/>
      <c r="N16" s="60">
        <f>(INTER_EQUIPE!M$13+INTER_VEÍCULO!M$33+('HORA PARADA_VEÍCULO'!M$9*$R16)+('CUSTO KM_VEÍCULO'!M$9*$D16)+EMBALAGEM!N$21+ENTREGA!M$4)*$U$7</f>
        <v>21900.707291157109</v>
      </c>
      <c r="O16" s="59"/>
      <c r="P16" s="60">
        <f>(INTER_EQUIPE!O$13+INTER_VEÍCULO!O$33+('HORA PARADA_VEÍCULO'!O$9*$R16)+('CUSTO KM_VEÍCULO'!O$9*$D16)+EMBALAGEM!P$21+ENTREGA!O$4)*$U$7</f>
        <v>26576.709293838318</v>
      </c>
      <c r="R16" s="22">
        <v>3</v>
      </c>
      <c r="T16" s="9"/>
      <c r="U16" s="9"/>
      <c r="V16" s="9"/>
      <c r="W16" s="9"/>
      <c r="X16" s="9"/>
    </row>
    <row r="17" spans="2:24" x14ac:dyDescent="0.25">
      <c r="B17" s="164">
        <v>801</v>
      </c>
      <c r="C17" s="59"/>
      <c r="D17" s="164">
        <v>900</v>
      </c>
      <c r="E17" s="2"/>
      <c r="F17" s="61">
        <f>(INTER_EQUIPE!E$13+INTER_VEÍCULO!E$33+('HORA PARADA_VEÍCULO'!E$9*$R17)+('CUSTO KM_VEÍCULO'!E$9*$D17)+EMBALAGEM!F$21+ENTREGA!E$4)*$U$7</f>
        <v>8939.2603624012336</v>
      </c>
      <c r="G17" s="59"/>
      <c r="H17" s="61">
        <f>(INTER_EQUIPE!G$13+INTER_VEÍCULO!G$33+('HORA PARADA_VEÍCULO'!G$9*$R17)+('CUSTO KM_VEÍCULO'!G$9*$D17)+EMBALAGEM!H$21+ENTREGA!G$4)*$U$7</f>
        <v>13225.258682366228</v>
      </c>
      <c r="I17" s="59"/>
      <c r="J17" s="61">
        <f>(INTER_EQUIPE!I$13+INTER_VEÍCULO!I$33+('HORA PARADA_VEÍCULO'!I$9*$R17)+('CUSTO KM_VEÍCULO'!I$9*$D17)+EMBALAGEM!J$21+ENTREGA!I$4)*$U$7</f>
        <v>15565.042389180875</v>
      </c>
      <c r="K17" s="59"/>
      <c r="L17" s="61">
        <f>(INTER_EQUIPE!K$13+INTER_VEÍCULO!K$33+('HORA PARADA_VEÍCULO'!K$9*$R17)+('CUSTO KM_VEÍCULO'!K$9*$D17)+EMBALAGEM!L$21+ENTREGA!K$4)*$U$7</f>
        <v>18439.846120697381</v>
      </c>
      <c r="M17" s="59"/>
      <c r="N17" s="61">
        <f>(INTER_EQUIPE!M$13+INTER_VEÍCULO!M$33+('HORA PARADA_VEÍCULO'!M$9*$R17)+('CUSTO KM_VEÍCULO'!M$9*$D17)+EMBALAGEM!N$21+ENTREGA!M$4)*$U$7</f>
        <v>22330.079412098512</v>
      </c>
      <c r="O17" s="59"/>
      <c r="P17" s="61">
        <f>(INTER_EQUIPE!O$13+INTER_VEÍCULO!O$33+('HORA PARADA_VEÍCULO'!O$9*$R17)+('CUSTO KM_VEÍCULO'!O$9*$D17)+EMBALAGEM!P$21+ENTREGA!O$4)*$U$7</f>
        <v>27067.183139190412</v>
      </c>
      <c r="R17" s="23">
        <v>3</v>
      </c>
      <c r="T17" s="9"/>
      <c r="U17" s="9"/>
      <c r="V17" s="9"/>
      <c r="W17" s="9"/>
      <c r="X17" s="9"/>
    </row>
    <row r="18" spans="2:24" x14ac:dyDescent="0.25">
      <c r="B18" s="163">
        <v>901</v>
      </c>
      <c r="C18" s="59"/>
      <c r="D18" s="163">
        <v>1000</v>
      </c>
      <c r="E18" s="2"/>
      <c r="F18" s="60">
        <f>(INTER_EQUIPE!E$13+INTER_VEÍCULO!E$33+('HORA PARADA_VEÍCULO'!E$9*$R18)+('CUSTO KM_VEÍCULO'!E$9*$D18)+EMBALAGEM!F$21+ENTREGA!E$4)*$U$7</f>
        <v>9227.4213942558363</v>
      </c>
      <c r="G18" s="59"/>
      <c r="H18" s="60">
        <f>(INTER_EQUIPE!G$13+INTER_VEÍCULO!G$33+('HORA PARADA_VEÍCULO'!G$9*$R18)+('CUSTO KM_VEÍCULO'!G$9*$D18)+EMBALAGEM!H$21+ENTREGA!G$4)*$U$7</f>
        <v>13535.030169565758</v>
      </c>
      <c r="I18" s="59"/>
      <c r="J18" s="60">
        <f>(INTER_EQUIPE!I$13+INTER_VEÍCULO!I$33+('HORA PARADA_VEÍCULO'!I$9*$R18)+('CUSTO KM_VEÍCULO'!I$9*$D18)+EMBALAGEM!J$21+ENTREGA!I$4)*$U$7</f>
        <v>15923.999031558757</v>
      </c>
      <c r="K18" s="59"/>
      <c r="L18" s="60">
        <f>(INTER_EQUIPE!K$13+INTER_VEÍCULO!K$33+('HORA PARADA_VEÍCULO'!K$9*$R18)+('CUSTO KM_VEÍCULO'!K$9*$D18)+EMBALAGEM!L$21+ENTREGA!K$4)*$U$7</f>
        <v>18798.802763075262</v>
      </c>
      <c r="M18" s="59"/>
      <c r="N18" s="60">
        <f>(INTER_EQUIPE!M$13+INTER_VEÍCULO!M$33+('HORA PARADA_VEÍCULO'!M$9*$R18)+('CUSTO KM_VEÍCULO'!M$9*$D18)+EMBALAGEM!N$21+ENTREGA!M$4)*$U$7</f>
        <v>22759.451533039912</v>
      </c>
      <c r="O18" s="59"/>
      <c r="P18" s="60">
        <f>(INTER_EQUIPE!O$13+INTER_VEÍCULO!O$33+('HORA PARADA_VEÍCULO'!O$9*$R18)+('CUSTO KM_VEÍCULO'!O$9*$D18)+EMBALAGEM!P$21+ENTREGA!O$4)*$U$7</f>
        <v>27557.656984542507</v>
      </c>
      <c r="R18" s="22">
        <v>3</v>
      </c>
      <c r="T18" s="9"/>
      <c r="U18" s="9"/>
      <c r="V18" s="9"/>
      <c r="W18" s="9"/>
      <c r="X18" s="9"/>
    </row>
    <row r="19" spans="2:24" x14ac:dyDescent="0.25">
      <c r="B19" s="164">
        <v>1001</v>
      </c>
      <c r="C19" s="59"/>
      <c r="D19" s="164">
        <v>1100</v>
      </c>
      <c r="E19" s="2"/>
      <c r="F19" s="61">
        <f>(INTER_EQUIPE!E$13+INTER_VEÍCULO!E$33+('HORA PARADA_VEÍCULO'!E$9*$R19)+('CUSTO KM_VEÍCULO'!E$9*$D19)+EMBALAGEM!F$21+ENTREGA!E$4)*$U$7</f>
        <v>9515.582426110439</v>
      </c>
      <c r="G19" s="59"/>
      <c r="H19" s="61">
        <f>(INTER_EQUIPE!G$13+INTER_VEÍCULO!G$33+('HORA PARADA_VEÍCULO'!G$9*$R19)+('CUSTO KM_VEÍCULO'!G$9*$D19)+EMBALAGEM!H$21+ENTREGA!G$4)*$U$7</f>
        <v>13844.801656765288</v>
      </c>
      <c r="I19" s="59"/>
      <c r="J19" s="61">
        <f>(INTER_EQUIPE!I$13+INTER_VEÍCULO!I$33+('HORA PARADA_VEÍCULO'!I$9*$R19)+('CUSTO KM_VEÍCULO'!I$9*$D19)+EMBALAGEM!J$21+ENTREGA!I$4)*$U$7</f>
        <v>16282.955673936638</v>
      </c>
      <c r="K19" s="59"/>
      <c r="L19" s="61">
        <f>(INTER_EQUIPE!K$13+INTER_VEÍCULO!K$33+('HORA PARADA_VEÍCULO'!K$9*$R19)+('CUSTO KM_VEÍCULO'!K$9*$D19)+EMBALAGEM!L$21+ENTREGA!K$4)*$U$7</f>
        <v>19157.759405453144</v>
      </c>
      <c r="M19" s="59"/>
      <c r="N19" s="61">
        <f>(INTER_EQUIPE!M$13+INTER_VEÍCULO!M$33+('HORA PARADA_VEÍCULO'!M$9*$R19)+('CUSTO KM_VEÍCULO'!M$9*$D19)+EMBALAGEM!N$21+ENTREGA!M$4)*$U$7</f>
        <v>23188.823653981312</v>
      </c>
      <c r="O19" s="59"/>
      <c r="P19" s="61">
        <f>(INTER_EQUIPE!O$13+INTER_VEÍCULO!O$33+('HORA PARADA_VEÍCULO'!O$9*$R19)+('CUSTO KM_VEÍCULO'!O$9*$D19)+EMBALAGEM!P$21+ENTREGA!O$4)*$U$7</f>
        <v>28048.130829894602</v>
      </c>
      <c r="R19" s="23">
        <v>3</v>
      </c>
      <c r="T19" s="9"/>
      <c r="U19" s="9"/>
      <c r="V19" s="9"/>
      <c r="W19" s="9"/>
      <c r="X19" s="9"/>
    </row>
    <row r="20" spans="2:24" x14ac:dyDescent="0.25">
      <c r="B20" s="163">
        <v>1101</v>
      </c>
      <c r="C20" s="59"/>
      <c r="D20" s="163">
        <v>1200</v>
      </c>
      <c r="E20" s="2"/>
      <c r="F20" s="60">
        <f>(INTER_EQUIPE!E$13+INTER_VEÍCULO!E$33+('HORA PARADA_VEÍCULO'!E$9*$R20)+('CUSTO KM_VEÍCULO'!E$9*$D20)+EMBALAGEM!F$21+ENTREGA!E$4)*$U$7</f>
        <v>9803.7434579650399</v>
      </c>
      <c r="G20" s="59"/>
      <c r="H20" s="62">
        <f>(INTER_EQUIPE!G$13+INTER_VEÍCULO!G$33+('HORA PARADA_VEÍCULO'!G$9*$R20)+('CUSTO KM_VEÍCULO'!G$9*$D20)+EMBALAGEM!H$21+ENTREGA!G$4)*$U$7</f>
        <v>14154.573143964821</v>
      </c>
      <c r="I20" s="59"/>
      <c r="J20" s="60">
        <f>(INTER_EQUIPE!I$13+INTER_VEÍCULO!I$33+('HORA PARADA_VEÍCULO'!I$9*$R20)+('CUSTO KM_VEÍCULO'!I$9*$D20)+EMBALAGEM!J$21+ENTREGA!I$4)*$U$7</f>
        <v>16641.912316314523</v>
      </c>
      <c r="K20" s="59"/>
      <c r="L20" s="60">
        <f>(INTER_EQUIPE!K$13+INTER_VEÍCULO!K$33+('HORA PARADA_VEÍCULO'!K$9*$R20)+('CUSTO KM_VEÍCULO'!K$9*$D20)+EMBALAGEM!L$21+ENTREGA!K$4)*$U$7</f>
        <v>19516.716047831029</v>
      </c>
      <c r="M20" s="59"/>
      <c r="N20" s="60">
        <f>(INTER_EQUIPE!M$13+INTER_VEÍCULO!M$33+('HORA PARADA_VEÍCULO'!M$9*$R20)+('CUSTO KM_VEÍCULO'!M$9*$D20)+EMBALAGEM!N$21+ENTREGA!M$4)*$U$7</f>
        <v>23618.195774922708</v>
      </c>
      <c r="O20" s="59"/>
      <c r="P20" s="60">
        <f>(INTER_EQUIPE!O$13+INTER_VEÍCULO!O$33+('HORA PARADA_VEÍCULO'!O$9*$R20)+('CUSTO KM_VEÍCULO'!O$9*$D20)+EMBALAGEM!P$21+ENTREGA!O$4)*$U$7</f>
        <v>28538.604675246697</v>
      </c>
      <c r="R20" s="22">
        <v>3</v>
      </c>
      <c r="T20" s="9"/>
      <c r="U20" s="9"/>
      <c r="V20" s="9"/>
      <c r="W20" s="9"/>
      <c r="X20" s="9"/>
    </row>
    <row r="21" spans="2:24" x14ac:dyDescent="0.25">
      <c r="B21" s="164">
        <v>1201</v>
      </c>
      <c r="C21" s="59"/>
      <c r="D21" s="164">
        <v>1300</v>
      </c>
      <c r="E21" s="2"/>
      <c r="F21" s="61">
        <f>(INTER_EQUIPE!E$13+INTER_VEÍCULO!E$33+('HORA PARADA_VEÍCULO'!E$9*$R21)+('CUSTO KM_VEÍCULO'!E$9*$D21)+EMBALAGEM!F$21+ENTREGA!E$4)*$U$7</f>
        <v>10943.453146896225</v>
      </c>
      <c r="G21" s="59"/>
      <c r="H21" s="61">
        <f>(INTER_EQUIPE!G$13+INTER_VEÍCULO!G$33+('HORA PARADA_VEÍCULO'!G$9*$R21)+('CUSTO KM_VEÍCULO'!G$9*$D21)+EMBALAGEM!H$21+ENTREGA!G$4)*$U$7</f>
        <v>15419.461940860541</v>
      </c>
      <c r="I21" s="59"/>
      <c r="J21" s="61">
        <f>(INTER_EQUIPE!I$13+INTER_VEÍCULO!I$33+('HORA PARADA_VEÍCULO'!I$9*$R21)+('CUSTO KM_VEÍCULO'!I$9*$D21)+EMBALAGEM!J$21+ENTREGA!I$4)*$U$7</f>
        <v>17894.28285552239</v>
      </c>
      <c r="K21" s="59"/>
      <c r="L21" s="61">
        <f>(INTER_EQUIPE!K$13+INTER_VEÍCULO!K$33+('HORA PARADA_VEÍCULO'!K$9*$R21)+('CUSTO KM_VEÍCULO'!K$9*$D21)+EMBALAGEM!L$21+ENTREGA!K$4)*$U$7</f>
        <v>20769.086587038895</v>
      </c>
      <c r="M21" s="59"/>
      <c r="N21" s="61">
        <f>(INTER_EQUIPE!M$13+INTER_VEÍCULO!M$33+('HORA PARADA_VEÍCULO'!M$9*$R21)+('CUSTO KM_VEÍCULO'!M$9*$D21)+EMBALAGEM!N$21+ENTREGA!M$4)*$U$7</f>
        <v>25192.701217250389</v>
      </c>
      <c r="O21" s="59"/>
      <c r="P21" s="61">
        <f>(INTER_EQUIPE!O$13+INTER_VEÍCULO!O$33+('HORA PARADA_VEÍCULO'!O$9*$R21)+('CUSTO KM_VEÍCULO'!O$9*$D21)+EMBALAGEM!P$21+ENTREGA!O$4)*$U$7</f>
        <v>30189.20198180421</v>
      </c>
      <c r="R21" s="23">
        <v>4</v>
      </c>
      <c r="T21" s="9"/>
      <c r="U21" s="9"/>
      <c r="V21" s="9"/>
      <c r="W21" s="9"/>
      <c r="X21" s="9"/>
    </row>
    <row r="22" spans="2:24" x14ac:dyDescent="0.25">
      <c r="B22" s="163">
        <v>1301</v>
      </c>
      <c r="C22" s="59"/>
      <c r="D22" s="163">
        <v>1400</v>
      </c>
      <c r="E22" s="2"/>
      <c r="F22" s="60">
        <f>(INTER_EQUIPE!E$13+INTER_VEÍCULO!E$33+('HORA PARADA_VEÍCULO'!E$9*$R22)+('CUSTO KM_VEÍCULO'!E$9*$D22)+EMBALAGEM!F$21+ENTREGA!E$4)*$U$7</f>
        <v>11231.614178750826</v>
      </c>
      <c r="G22" s="59"/>
      <c r="H22" s="60">
        <f>(INTER_EQUIPE!G$13+INTER_VEÍCULO!G$33+('HORA PARADA_VEÍCULO'!G$9*$R22)+('CUSTO KM_VEÍCULO'!G$9*$D22)+EMBALAGEM!H$21+ENTREGA!G$4)*$U$7</f>
        <v>15729.233428060073</v>
      </c>
      <c r="I22" s="59"/>
      <c r="J22" s="60">
        <f>(INTER_EQUIPE!I$13+INTER_VEÍCULO!I$33+('HORA PARADA_VEÍCULO'!I$9*$R22)+('CUSTO KM_VEÍCULO'!I$9*$D22)+EMBALAGEM!J$21+ENTREGA!I$4)*$U$7</f>
        <v>18253.239497900271</v>
      </c>
      <c r="K22" s="59"/>
      <c r="L22" s="60">
        <f>(INTER_EQUIPE!K$13+INTER_VEÍCULO!K$33+('HORA PARADA_VEÍCULO'!K$9*$R22)+('CUSTO KM_VEÍCULO'!K$9*$D22)+EMBALAGEM!L$21+ENTREGA!K$4)*$U$7</f>
        <v>21128.043229416777</v>
      </c>
      <c r="M22" s="59"/>
      <c r="N22" s="60">
        <f>(INTER_EQUIPE!M$13+INTER_VEÍCULO!M$33+('HORA PARADA_VEÍCULO'!M$9*$R22)+('CUSTO KM_VEÍCULO'!M$9*$D22)+EMBALAGEM!N$21+ENTREGA!M$4)*$U$7</f>
        <v>25622.073338191793</v>
      </c>
      <c r="O22" s="59"/>
      <c r="P22" s="60">
        <f>(INTER_EQUIPE!O$13+INTER_VEÍCULO!O$33+('HORA PARADA_VEÍCULO'!O$9*$R22)+('CUSTO KM_VEÍCULO'!O$9*$D22)+EMBALAGEM!P$21+ENTREGA!O$4)*$U$7</f>
        <v>30679.675827156305</v>
      </c>
      <c r="R22" s="22">
        <v>4</v>
      </c>
      <c r="T22" s="9"/>
      <c r="U22" s="9"/>
      <c r="V22" s="9"/>
      <c r="W22" s="9"/>
      <c r="X22" s="9"/>
    </row>
    <row r="23" spans="2:24" x14ac:dyDescent="0.25">
      <c r="B23" s="164">
        <v>1401</v>
      </c>
      <c r="C23" s="59"/>
      <c r="D23" s="164">
        <v>1500</v>
      </c>
      <c r="E23" s="2"/>
      <c r="F23" s="61">
        <f>(INTER_EQUIPE!E$13+INTER_VEÍCULO!E$33+('HORA PARADA_VEÍCULO'!E$9*$R23)+('CUSTO KM_VEÍCULO'!E$9*$D23)+EMBALAGEM!F$21+ENTREGA!E$4)*$U$7</f>
        <v>11519.77521060543</v>
      </c>
      <c r="G23" s="59"/>
      <c r="H23" s="61">
        <f>(INTER_EQUIPE!G$13+INTER_VEÍCULO!G$33+('HORA PARADA_VEÍCULO'!G$9*$R23)+('CUSTO KM_VEÍCULO'!G$9*$D23)+EMBALAGEM!H$21+ENTREGA!G$4)*$U$7</f>
        <v>16039.004915259606</v>
      </c>
      <c r="I23" s="59"/>
      <c r="J23" s="61">
        <f>(INTER_EQUIPE!I$13+INTER_VEÍCULO!I$33+('HORA PARADA_VEÍCULO'!I$9*$R23)+('CUSTO KM_VEÍCULO'!I$9*$D23)+EMBALAGEM!J$21+ENTREGA!I$4)*$U$7</f>
        <v>18612.196140278153</v>
      </c>
      <c r="K23" s="59"/>
      <c r="L23" s="61">
        <f>(INTER_EQUIPE!K$13+INTER_VEÍCULO!K$33+('HORA PARADA_VEÍCULO'!K$9*$R23)+('CUSTO KM_VEÍCULO'!K$9*$D23)+EMBALAGEM!L$21+ENTREGA!K$4)*$U$7</f>
        <v>21486.999871794658</v>
      </c>
      <c r="M23" s="59"/>
      <c r="N23" s="61">
        <f>(INTER_EQUIPE!M$13+INTER_VEÍCULO!M$33+('HORA PARADA_VEÍCULO'!M$9*$R23)+('CUSTO KM_VEÍCULO'!M$9*$D23)+EMBALAGEM!N$21+ENTREGA!M$4)*$U$7</f>
        <v>26051.445459133192</v>
      </c>
      <c r="O23" s="59"/>
      <c r="P23" s="61">
        <f>(INTER_EQUIPE!O$13+INTER_VEÍCULO!O$33+('HORA PARADA_VEÍCULO'!O$9*$R23)+('CUSTO KM_VEÍCULO'!O$9*$D23)+EMBALAGEM!P$21+ENTREGA!O$4)*$U$7</f>
        <v>31170.1496725084</v>
      </c>
      <c r="R23" s="23">
        <v>4</v>
      </c>
      <c r="T23" s="9"/>
      <c r="U23" s="9"/>
      <c r="V23" s="9"/>
      <c r="W23" s="9"/>
      <c r="X23" s="9"/>
    </row>
    <row r="24" spans="2:24" x14ac:dyDescent="0.25">
      <c r="B24" s="163">
        <v>1501</v>
      </c>
      <c r="C24" s="59"/>
      <c r="D24" s="163">
        <v>1600</v>
      </c>
      <c r="E24" s="2"/>
      <c r="F24" s="60">
        <f>(INTER_EQUIPE!E$13+INTER_VEÍCULO!E$33+('HORA PARADA_VEÍCULO'!E$9*$R24)+('CUSTO KM_VEÍCULO'!E$9*$D24)+EMBALAGEM!F$21+ENTREGA!E$4)*$U$7</f>
        <v>11807.936242460031</v>
      </c>
      <c r="G24" s="59"/>
      <c r="H24" s="60">
        <f>(INTER_EQUIPE!G$13+INTER_VEÍCULO!G$33+('HORA PARADA_VEÍCULO'!G$9*$R24)+('CUSTO KM_VEÍCULO'!G$9*$D24)+EMBALAGEM!H$21+ENTREGA!G$4)*$U$7</f>
        <v>16348.776402459136</v>
      </c>
      <c r="I24" s="59"/>
      <c r="J24" s="60">
        <f>(INTER_EQUIPE!I$13+INTER_VEÍCULO!I$33+('HORA PARADA_VEÍCULO'!I$9*$R24)+('CUSTO KM_VEÍCULO'!I$9*$D24)+EMBALAGEM!J$21+ENTREGA!I$4)*$U$7</f>
        <v>18971.152782656034</v>
      </c>
      <c r="K24" s="59"/>
      <c r="L24" s="60">
        <f>(INTER_EQUIPE!K$13+INTER_VEÍCULO!K$33+('HORA PARADA_VEÍCULO'!K$9*$R24)+('CUSTO KM_VEÍCULO'!K$9*$D24)+EMBALAGEM!L$21+ENTREGA!K$4)*$U$7</f>
        <v>21845.95651417254</v>
      </c>
      <c r="M24" s="59"/>
      <c r="N24" s="60">
        <f>(INTER_EQUIPE!M$13+INTER_VEÍCULO!M$33+('HORA PARADA_VEÍCULO'!M$9*$R24)+('CUSTO KM_VEÍCULO'!M$9*$D24)+EMBALAGEM!N$21+ENTREGA!M$4)*$U$7</f>
        <v>26480.817580074588</v>
      </c>
      <c r="O24" s="59"/>
      <c r="P24" s="60">
        <f>(INTER_EQUIPE!O$13+INTER_VEÍCULO!O$33+('HORA PARADA_VEÍCULO'!O$9*$R24)+('CUSTO KM_VEÍCULO'!O$9*$D24)+EMBALAGEM!P$21+ENTREGA!O$4)*$U$7</f>
        <v>31660.623517860495</v>
      </c>
      <c r="R24" s="22">
        <v>4</v>
      </c>
      <c r="T24" s="9"/>
      <c r="U24" s="9"/>
      <c r="V24" s="9"/>
      <c r="W24" s="9"/>
      <c r="X24" s="9"/>
    </row>
    <row r="25" spans="2:24" x14ac:dyDescent="0.25">
      <c r="B25" s="164">
        <v>1601</v>
      </c>
      <c r="C25" s="59"/>
      <c r="D25" s="164">
        <v>1700</v>
      </c>
      <c r="E25" s="2"/>
      <c r="F25" s="61">
        <f>(INTER_EQUIPE!E$13+INTER_VEÍCULO!E$33+('HORA PARADA_VEÍCULO'!E$9*$R25)+('CUSTO KM_VEÍCULO'!E$9*$D25)+EMBALAGEM!F$21+ENTREGA!E$4)*$U$7</f>
        <v>12096.097274314632</v>
      </c>
      <c r="G25" s="59"/>
      <c r="H25" s="61">
        <f>(INTER_EQUIPE!G$13+INTER_VEÍCULO!G$33+('HORA PARADA_VEÍCULO'!G$9*$R25)+('CUSTO KM_VEÍCULO'!G$9*$D25)+EMBALAGEM!H$21+ENTREGA!G$4)*$U$7</f>
        <v>16658.547889658668</v>
      </c>
      <c r="I25" s="59"/>
      <c r="J25" s="61">
        <f>(INTER_EQUIPE!I$13+INTER_VEÍCULO!I$33+('HORA PARADA_VEÍCULO'!I$9*$R25)+('CUSTO KM_VEÍCULO'!I$9*$D25)+EMBALAGEM!J$21+ENTREGA!I$4)*$U$7</f>
        <v>19330.109425033912</v>
      </c>
      <c r="K25" s="59"/>
      <c r="L25" s="61">
        <f>(INTER_EQUIPE!K$13+INTER_VEÍCULO!K$33+('HORA PARADA_VEÍCULO'!K$9*$R25)+('CUSTO KM_VEÍCULO'!K$9*$D25)+EMBALAGEM!L$21+ENTREGA!K$4)*$U$7</f>
        <v>22204.913156550418</v>
      </c>
      <c r="M25" s="59"/>
      <c r="N25" s="61">
        <f>(INTER_EQUIPE!M$13+INTER_VEÍCULO!M$33+('HORA PARADA_VEÍCULO'!M$9*$R25)+('CUSTO KM_VEÍCULO'!M$9*$D25)+EMBALAGEM!N$21+ENTREGA!M$4)*$U$7</f>
        <v>26910.189701015988</v>
      </c>
      <c r="O25" s="59"/>
      <c r="P25" s="61">
        <f>(INTER_EQUIPE!O$13+INTER_VEÍCULO!O$33+('HORA PARADA_VEÍCULO'!O$9*$R25)+('CUSTO KM_VEÍCULO'!O$9*$D25)+EMBALAGEM!P$21+ENTREGA!O$4)*$U$7</f>
        <v>32151.097363212582</v>
      </c>
      <c r="R25" s="23">
        <v>4</v>
      </c>
      <c r="T25" s="9"/>
      <c r="U25" s="9"/>
      <c r="V25" s="9"/>
      <c r="W25" s="9"/>
      <c r="X25" s="9"/>
    </row>
    <row r="26" spans="2:24" x14ac:dyDescent="0.25">
      <c r="B26" s="163">
        <v>1701</v>
      </c>
      <c r="C26" s="59"/>
      <c r="D26" s="163">
        <v>1800</v>
      </c>
      <c r="E26" s="2"/>
      <c r="F26" s="60">
        <f>(INTER_EQUIPE!E$13+INTER_VEÍCULO!E$33+('HORA PARADA_VEÍCULO'!E$9*$R26)+('CUSTO KM_VEÍCULO'!E$9*$D26)+EMBALAGEM!F$21+ENTREGA!E$4)*$U$7</f>
        <v>13235.806963245817</v>
      </c>
      <c r="G26" s="59"/>
      <c r="H26" s="60">
        <f>(INTER_EQUIPE!G$13+INTER_VEÍCULO!G$33+('HORA PARADA_VEÍCULO'!G$9*$R26)+('CUSTO KM_VEÍCULO'!G$9*$D26)+EMBALAGEM!H$21+ENTREGA!G$4)*$U$7</f>
        <v>17923.436686554389</v>
      </c>
      <c r="I26" s="59"/>
      <c r="J26" s="60">
        <f>(INTER_EQUIPE!I$13+INTER_VEÍCULO!I$33+('HORA PARADA_VEÍCULO'!I$9*$R26)+('CUSTO KM_VEÍCULO'!I$9*$D26)+EMBALAGEM!J$21+ENTREGA!I$4)*$U$7</f>
        <v>20582.479964241786</v>
      </c>
      <c r="K26" s="59"/>
      <c r="L26" s="60">
        <f>(INTER_EQUIPE!K$13+INTER_VEÍCULO!K$33+('HORA PARADA_VEÍCULO'!K$9*$R26)+('CUSTO KM_VEÍCULO'!K$9*$D26)+EMBALAGEM!L$21+ENTREGA!K$4)*$U$7</f>
        <v>23457.283695758291</v>
      </c>
      <c r="M26" s="59"/>
      <c r="N26" s="60">
        <f>(INTER_EQUIPE!M$13+INTER_VEÍCULO!M$33+('HORA PARADA_VEÍCULO'!M$9*$R26)+('CUSTO KM_VEÍCULO'!M$9*$D26)+EMBALAGEM!N$21+ENTREGA!M$4)*$U$7</f>
        <v>28484.695143343666</v>
      </c>
      <c r="O26" s="59"/>
      <c r="P26" s="60">
        <f>(INTER_EQUIPE!O$13+INTER_VEÍCULO!O$33+('HORA PARADA_VEÍCULO'!O$9*$R26)+('CUSTO KM_VEÍCULO'!O$9*$D26)+EMBALAGEM!P$21+ENTREGA!O$4)*$U$7</f>
        <v>33801.694669770099</v>
      </c>
      <c r="R26" s="22">
        <v>5</v>
      </c>
      <c r="T26" s="9"/>
      <c r="U26" s="9"/>
      <c r="V26" s="9"/>
      <c r="W26" s="9"/>
      <c r="X26" s="9"/>
    </row>
    <row r="27" spans="2:24" x14ac:dyDescent="0.25">
      <c r="B27" s="164">
        <v>1801</v>
      </c>
      <c r="C27" s="59"/>
      <c r="D27" s="164">
        <v>1900</v>
      </c>
      <c r="E27" s="2"/>
      <c r="F27" s="61">
        <f>(INTER_EQUIPE!E$13+INTER_VEÍCULO!E$33+('HORA PARADA_VEÍCULO'!E$9*$R27)+('CUSTO KM_VEÍCULO'!E$9*$D27)+EMBALAGEM!F$21+ENTREGA!E$4)*$U$7</f>
        <v>13523.967995100422</v>
      </c>
      <c r="G27" s="59"/>
      <c r="H27" s="61">
        <f>(INTER_EQUIPE!G$13+INTER_VEÍCULO!G$33+('HORA PARADA_VEÍCULO'!G$9*$R27)+('CUSTO KM_VEÍCULO'!G$9*$D27)+EMBALAGEM!H$21+ENTREGA!G$4)*$U$7</f>
        <v>18233.208173753919</v>
      </c>
      <c r="I27" s="59"/>
      <c r="J27" s="61">
        <f>(INTER_EQUIPE!I$13+INTER_VEÍCULO!I$33+('HORA PARADA_VEÍCULO'!I$9*$R27)+('CUSTO KM_VEÍCULO'!I$9*$D27)+EMBALAGEM!J$21+ENTREGA!I$4)*$U$7</f>
        <v>20941.436606619667</v>
      </c>
      <c r="K27" s="59"/>
      <c r="L27" s="61">
        <f>(INTER_EQUIPE!K$13+INTER_VEÍCULO!K$33+('HORA PARADA_VEÍCULO'!K$9*$R27)+('CUSTO KM_VEÍCULO'!K$9*$D27)+EMBALAGEM!L$21+ENTREGA!K$4)*$U$7</f>
        <v>23816.240338136173</v>
      </c>
      <c r="M27" s="59"/>
      <c r="N27" s="61">
        <f>(INTER_EQUIPE!M$13+INTER_VEÍCULO!M$33+('HORA PARADA_VEÍCULO'!M$9*$R27)+('CUSTO KM_VEÍCULO'!M$9*$D27)+EMBALAGEM!N$21+ENTREGA!M$4)*$U$7</f>
        <v>28914.067264285066</v>
      </c>
      <c r="O27" s="59"/>
      <c r="P27" s="61">
        <f>(INTER_EQUIPE!O$13+INTER_VEÍCULO!O$33+('HORA PARADA_VEÍCULO'!O$9*$R27)+('CUSTO KM_VEÍCULO'!O$9*$D27)+EMBALAGEM!P$21+ENTREGA!O$4)*$U$7</f>
        <v>34292.16851512219</v>
      </c>
      <c r="R27" s="23">
        <v>5</v>
      </c>
      <c r="T27" s="9"/>
      <c r="U27" s="9"/>
      <c r="V27" s="9"/>
      <c r="W27" s="9"/>
      <c r="X27" s="9"/>
    </row>
    <row r="28" spans="2:24" x14ac:dyDescent="0.25">
      <c r="B28" s="163">
        <v>1901</v>
      </c>
      <c r="C28" s="59"/>
      <c r="D28" s="163">
        <v>2000</v>
      </c>
      <c r="E28" s="2"/>
      <c r="F28" s="60">
        <f>(INTER_EQUIPE!E$13+INTER_VEÍCULO!E$33+('HORA PARADA_VEÍCULO'!E$9*$R28)+('CUSTO KM_VEÍCULO'!E$9*$D28)+EMBALAGEM!F$21+ENTREGA!E$4)*$U$7</f>
        <v>13812.129026955023</v>
      </c>
      <c r="G28" s="59"/>
      <c r="H28" s="60">
        <f>(INTER_EQUIPE!G$13+INTER_VEÍCULO!G$33+('HORA PARADA_VEÍCULO'!G$9*$R28)+('CUSTO KM_VEÍCULO'!G$9*$D28)+EMBALAGEM!H$21+ENTREGA!G$4)*$U$7</f>
        <v>18542.97966095345</v>
      </c>
      <c r="I28" s="59"/>
      <c r="J28" s="62">
        <f>(INTER_EQUIPE!I$13+INTER_VEÍCULO!I$33+('HORA PARADA_VEÍCULO'!I$9*$R28)+('CUSTO KM_VEÍCULO'!I$9*$D28)+EMBALAGEM!J$21+ENTREGA!I$4)*$U$7</f>
        <v>21300.393248997549</v>
      </c>
      <c r="K28" s="59"/>
      <c r="L28" s="60">
        <f>(INTER_EQUIPE!K$13+INTER_VEÍCULO!K$33+('HORA PARADA_VEÍCULO'!K$9*$R28)+('CUSTO KM_VEÍCULO'!K$9*$D28)+EMBALAGEM!L$21+ENTREGA!K$4)*$U$7</f>
        <v>24175.196980514058</v>
      </c>
      <c r="M28" s="59"/>
      <c r="N28" s="60">
        <f>(INTER_EQUIPE!M$13+INTER_VEÍCULO!M$33+('HORA PARADA_VEÍCULO'!M$9*$R28)+('CUSTO KM_VEÍCULO'!M$9*$D28)+EMBALAGEM!N$21+ENTREGA!M$4)*$U$7</f>
        <v>29343.439385226469</v>
      </c>
      <c r="O28" s="59"/>
      <c r="P28" s="60">
        <f>(INTER_EQUIPE!O$13+INTER_VEÍCULO!O$33+('HORA PARADA_VEÍCULO'!O$9*$R28)+('CUSTO KM_VEÍCULO'!O$9*$D28)+EMBALAGEM!P$21+ENTREGA!O$4)*$U$7</f>
        <v>34782.642360474289</v>
      </c>
      <c r="R28" s="22">
        <v>5</v>
      </c>
      <c r="T28" s="9"/>
      <c r="U28" s="9"/>
      <c r="V28" s="9"/>
      <c r="W28" s="9"/>
      <c r="X28" s="9"/>
    </row>
    <row r="29" spans="2:24" x14ac:dyDescent="0.25">
      <c r="B29" s="164">
        <v>2001</v>
      </c>
      <c r="C29" s="59"/>
      <c r="D29" s="164">
        <v>2200</v>
      </c>
      <c r="E29" s="2"/>
      <c r="F29" s="61">
        <f>(INTER_EQUIPE!E$13+INTER_VEÍCULO!E$33+('HORA PARADA_VEÍCULO'!E$9*$R29)+('CUSTO KM_VEÍCULO'!E$9*$D29)+EMBALAGEM!F$21+ENTREGA!E$4)*$U$7</f>
        <v>14388.451090664228</v>
      </c>
      <c r="G29" s="59"/>
      <c r="H29" s="61">
        <f>(INTER_EQUIPE!G$13+INTER_VEÍCULO!G$33+('HORA PARADA_VEÍCULO'!G$9*$R29)+('CUSTO KM_VEÍCULO'!G$9*$D29)+EMBALAGEM!H$21+ENTREGA!G$4)*$U$7</f>
        <v>19162.522635352514</v>
      </c>
      <c r="I29" s="59"/>
      <c r="J29" s="61">
        <f>(INTER_EQUIPE!I$13+INTER_VEÍCULO!I$33+('HORA PARADA_VEÍCULO'!I$9*$R29)+('CUSTO KM_VEÍCULO'!I$9*$D29)+EMBALAGEM!J$21+ENTREGA!I$4)*$U$7</f>
        <v>22018.306533753312</v>
      </c>
      <c r="K29" s="59"/>
      <c r="L29" s="61">
        <f>(INTER_EQUIPE!K$13+INTER_VEÍCULO!K$33+('HORA PARADA_VEÍCULO'!K$9*$R29)+('CUSTO KM_VEÍCULO'!K$9*$D29)+EMBALAGEM!L$21+ENTREGA!K$4)*$U$7</f>
        <v>24893.110265269817</v>
      </c>
      <c r="M29" s="59"/>
      <c r="N29" s="61">
        <f>(INTER_EQUIPE!M$13+INTER_VEÍCULO!M$33+('HORA PARADA_VEÍCULO'!M$9*$R29)+('CUSTO KM_VEÍCULO'!M$9*$D29)+EMBALAGEM!N$21+ENTREGA!M$4)*$U$7</f>
        <v>30202.183627109269</v>
      </c>
      <c r="O29" s="59"/>
      <c r="P29" s="61">
        <f>(INTER_EQUIPE!O$13+INTER_VEÍCULO!O$33+('HORA PARADA_VEÍCULO'!O$9*$R29)+('CUSTO KM_VEÍCULO'!O$9*$D29)+EMBALAGEM!P$21+ENTREGA!O$4)*$U$7</f>
        <v>35763.590051178478</v>
      </c>
      <c r="R29" s="23">
        <v>5</v>
      </c>
      <c r="T29" s="9"/>
      <c r="U29" s="9"/>
      <c r="V29" s="9"/>
      <c r="W29" s="9"/>
      <c r="X29" s="9"/>
    </row>
    <row r="30" spans="2:24" x14ac:dyDescent="0.25">
      <c r="B30" s="163">
        <v>2201</v>
      </c>
      <c r="C30" s="59"/>
      <c r="D30" s="163">
        <v>2400</v>
      </c>
      <c r="E30" s="2"/>
      <c r="F30" s="60">
        <f>(INTER_EQUIPE!E$13+INTER_VEÍCULO!E$33+('HORA PARADA_VEÍCULO'!E$9*$R30)+('CUSTO KM_VEÍCULO'!E$9*$D30)+EMBALAGEM!F$21+ENTREGA!E$4)*$U$7</f>
        <v>15816.321811450014</v>
      </c>
      <c r="G30" s="59"/>
      <c r="H30" s="60">
        <f>(INTER_EQUIPE!G$13+INTER_VEÍCULO!G$33+('HORA PARADA_VEÍCULO'!G$9*$R30)+('CUSTO KM_VEÍCULO'!G$9*$D30)+EMBALAGEM!H$21+ENTREGA!G$4)*$U$7</f>
        <v>20737.182919447765</v>
      </c>
      <c r="I30" s="59"/>
      <c r="J30" s="60">
        <f>(INTER_EQUIPE!I$13+INTER_VEÍCULO!I$33+('HORA PARADA_VEÍCULO'!I$9*$R30)+('CUSTO KM_VEÍCULO'!I$9*$D30)+EMBALAGEM!J$21+ENTREGA!I$4)*$U$7</f>
        <v>23629.633715339067</v>
      </c>
      <c r="K30" s="59"/>
      <c r="L30" s="60">
        <f>(INTER_EQUIPE!K$13+INTER_VEÍCULO!K$33+('HORA PARADA_VEÍCULO'!K$9*$R30)+('CUSTO KM_VEÍCULO'!K$9*$D30)+EMBALAGEM!L$21+ENTREGA!K$4)*$U$7</f>
        <v>26504.437446855569</v>
      </c>
      <c r="M30" s="59"/>
      <c r="N30" s="60">
        <f>(INTER_EQUIPE!M$13+INTER_VEÍCULO!M$33+('HORA PARADA_VEÍCULO'!M$9*$R30)+('CUSTO KM_VEÍCULO'!M$9*$D30)+EMBALAGEM!N$21+ENTREGA!M$4)*$U$7</f>
        <v>32206.06119037835</v>
      </c>
      <c r="O30" s="59"/>
      <c r="P30" s="60">
        <f>(INTER_EQUIPE!O$13+INTER_VEÍCULO!O$33+('HORA PARADA_VEÍCULO'!O$9*$R30)+('CUSTO KM_VEÍCULO'!O$9*$D30)+EMBALAGEM!P$21+ENTREGA!O$4)*$U$7</f>
        <v>37904.661203088093</v>
      </c>
      <c r="R30" s="22">
        <v>6</v>
      </c>
      <c r="T30" s="9"/>
      <c r="U30" s="9"/>
      <c r="V30" s="9"/>
      <c r="W30" s="9"/>
      <c r="X30" s="9"/>
    </row>
    <row r="31" spans="2:24" x14ac:dyDescent="0.25">
      <c r="B31" s="164">
        <v>2401</v>
      </c>
      <c r="C31" s="59"/>
      <c r="D31" s="164">
        <v>2600</v>
      </c>
      <c r="E31" s="2"/>
      <c r="F31" s="61">
        <f>(INTER_EQUIPE!E$13+INTER_VEÍCULO!E$33+('HORA PARADA_VEÍCULO'!E$9*$R31)+('CUSTO KM_VEÍCULO'!E$9*$D31)+EMBALAGEM!F$21+ENTREGA!E$4)*$U$7</f>
        <v>16392.643875159218</v>
      </c>
      <c r="G31" s="59"/>
      <c r="H31" s="61">
        <f>(INTER_EQUIPE!G$13+INTER_VEÍCULO!G$33+('HORA PARADA_VEÍCULO'!G$9*$R31)+('CUSTO KM_VEÍCULO'!G$9*$D31)+EMBALAGEM!H$21+ENTREGA!G$4)*$U$7</f>
        <v>21356.725893846829</v>
      </c>
      <c r="I31" s="59"/>
      <c r="J31" s="61">
        <f>(INTER_EQUIPE!I$13+INTER_VEÍCULO!I$33+('HORA PARADA_VEÍCULO'!I$9*$R31)+('CUSTO KM_VEÍCULO'!I$9*$D31)+EMBALAGEM!J$21+ENTREGA!I$4)*$U$7</f>
        <v>24347.547000094826</v>
      </c>
      <c r="K31" s="59"/>
      <c r="L31" s="61">
        <f>(INTER_EQUIPE!K$13+INTER_VEÍCULO!K$33+('HORA PARADA_VEÍCULO'!K$9*$R31)+('CUSTO KM_VEÍCULO'!K$9*$D31)+EMBALAGEM!L$21+ENTREGA!K$4)*$U$7</f>
        <v>27222.350731611332</v>
      </c>
      <c r="M31" s="59"/>
      <c r="N31" s="61">
        <f>(INTER_EQUIPE!M$13+INTER_VEÍCULO!M$33+('HORA PARADA_VEÍCULO'!M$9*$R31)+('CUSTO KM_VEÍCULO'!M$9*$D31)+EMBALAGEM!N$21+ENTREGA!M$4)*$U$7</f>
        <v>33064.805432261142</v>
      </c>
      <c r="O31" s="59"/>
      <c r="P31" s="61">
        <f>(INTER_EQUIPE!O$13+INTER_VEÍCULO!O$33+('HORA PARADA_VEÍCULO'!O$9*$R31)+('CUSTO KM_VEÍCULO'!O$9*$D31)+EMBALAGEM!P$21+ENTREGA!O$4)*$U$7</f>
        <v>38885.608893792283</v>
      </c>
      <c r="R31" s="23">
        <v>6</v>
      </c>
      <c r="T31" s="9"/>
      <c r="U31" s="9"/>
      <c r="V31" s="9"/>
      <c r="W31" s="9"/>
      <c r="X31" s="9"/>
    </row>
    <row r="32" spans="2:24" x14ac:dyDescent="0.25">
      <c r="B32" s="163">
        <v>2601</v>
      </c>
      <c r="C32" s="59"/>
      <c r="D32" s="163">
        <v>2800</v>
      </c>
      <c r="E32" s="2"/>
      <c r="F32" s="60">
        <f>(INTER_EQUIPE!E$13+INTER_VEÍCULO!E$33+('HORA PARADA_VEÍCULO'!E$9*$R32)+('CUSTO KM_VEÍCULO'!E$9*$D32)+EMBALAGEM!F$21+ENTREGA!E$4)*$U$7</f>
        <v>16968.965938868423</v>
      </c>
      <c r="G32" s="59"/>
      <c r="H32" s="60">
        <f>(INTER_EQUIPE!G$13+INTER_VEÍCULO!G$33+('HORA PARADA_VEÍCULO'!G$9*$R32)+('CUSTO KM_VEÍCULO'!G$9*$D32)+EMBALAGEM!H$21+ENTREGA!G$4)*$U$7</f>
        <v>21976.26886824589</v>
      </c>
      <c r="I32" s="59"/>
      <c r="J32" s="60">
        <f>(INTER_EQUIPE!I$13+INTER_VEÍCULO!I$33+('HORA PARADA_VEÍCULO'!I$9*$R32)+('CUSTO KM_VEÍCULO'!I$9*$D32)+EMBALAGEM!J$21+ENTREGA!I$4)*$U$7</f>
        <v>25065.460284850589</v>
      </c>
      <c r="K32" s="59"/>
      <c r="L32" s="60">
        <f>(INTER_EQUIPE!K$13+INTER_VEÍCULO!K$33+('HORA PARADA_VEÍCULO'!K$9*$R32)+('CUSTO KM_VEÍCULO'!K$9*$D32)+EMBALAGEM!L$21+ENTREGA!K$4)*$U$7</f>
        <v>27940.264016367095</v>
      </c>
      <c r="M32" s="59"/>
      <c r="N32" s="60">
        <f>(INTER_EQUIPE!M$13+INTER_VEÍCULO!M$33+('HORA PARADA_VEÍCULO'!M$9*$R32)+('CUSTO KM_VEÍCULO'!M$9*$D32)+EMBALAGEM!N$21+ENTREGA!M$4)*$U$7</f>
        <v>33923.549674143949</v>
      </c>
      <c r="O32" s="59"/>
      <c r="P32" s="60">
        <f>(INTER_EQUIPE!O$13+INTER_VEÍCULO!O$33+('HORA PARADA_VEÍCULO'!O$9*$R32)+('CUSTO KM_VEÍCULO'!O$9*$D32)+EMBALAGEM!P$21+ENTREGA!O$4)*$U$7</f>
        <v>39866.556584496466</v>
      </c>
      <c r="R32" s="22">
        <v>6</v>
      </c>
      <c r="T32" s="9"/>
      <c r="U32" s="9"/>
      <c r="V32" s="9"/>
      <c r="W32" s="9"/>
      <c r="X32" s="9"/>
    </row>
    <row r="33" spans="2:24" x14ac:dyDescent="0.25">
      <c r="B33" s="164">
        <v>2801</v>
      </c>
      <c r="C33" s="59"/>
      <c r="D33" s="164">
        <v>3000</v>
      </c>
      <c r="E33" s="2"/>
      <c r="F33" s="61">
        <f>(INTER_EQUIPE!E$13+INTER_VEÍCULO!E$33+('HORA PARADA_VEÍCULO'!E$9*$R33)+('CUSTO KM_VEÍCULO'!E$9*$D33)+EMBALAGEM!F$21+ENTREGA!E$4)*$U$7</f>
        <v>17545.288002577629</v>
      </c>
      <c r="G33" s="59"/>
      <c r="H33" s="61">
        <f>(INTER_EQUIPE!G$13+INTER_VEÍCULO!G$33+('HORA PARADA_VEÍCULO'!G$9*$R33)+('CUSTO KM_VEÍCULO'!G$9*$D33)+EMBALAGEM!H$21+ENTREGA!G$4)*$U$7</f>
        <v>22595.811842644951</v>
      </c>
      <c r="I33" s="59"/>
      <c r="J33" s="61">
        <f>(INTER_EQUIPE!I$13+INTER_VEÍCULO!I$33+('HORA PARADA_VEÍCULO'!I$9*$R33)+('CUSTO KM_VEÍCULO'!I$9*$D33)+EMBALAGEM!J$21+ENTREGA!I$4)*$U$7</f>
        <v>25783.373569606349</v>
      </c>
      <c r="K33" s="59"/>
      <c r="L33" s="61">
        <f>(INTER_EQUIPE!K$13+INTER_VEÍCULO!K$33+('HORA PARADA_VEÍCULO'!K$9*$R33)+('CUSTO KM_VEÍCULO'!K$9*$D33)+EMBALAGEM!L$21+ENTREGA!K$4)*$U$7</f>
        <v>28658.177301122858</v>
      </c>
      <c r="M33" s="59"/>
      <c r="N33" s="61">
        <f>(INTER_EQUIPE!M$13+INTER_VEÍCULO!M$33+('HORA PARADA_VEÍCULO'!M$9*$R33)+('CUSTO KM_VEÍCULO'!M$9*$D33)+EMBALAGEM!N$21+ENTREGA!M$4)*$U$7</f>
        <v>34782.293916026749</v>
      </c>
      <c r="O33" s="59"/>
      <c r="P33" s="61">
        <f>(INTER_EQUIPE!O$13+INTER_VEÍCULO!O$33+('HORA PARADA_VEÍCULO'!O$9*$R33)+('CUSTO KM_VEÍCULO'!O$9*$D33)+EMBALAGEM!P$21+ENTREGA!O$4)*$U$7</f>
        <v>40847.504275200656</v>
      </c>
      <c r="R33" s="23">
        <v>6</v>
      </c>
      <c r="T33" s="9"/>
      <c r="U33" s="9"/>
      <c r="V33" s="9"/>
      <c r="W33" s="9"/>
      <c r="X33" s="9"/>
    </row>
    <row r="34" spans="2:24" x14ac:dyDescent="0.25">
      <c r="B34" s="163">
        <v>3001</v>
      </c>
      <c r="C34" s="59"/>
      <c r="D34" s="163">
        <v>3200</v>
      </c>
      <c r="E34" s="2"/>
      <c r="F34" s="60">
        <f>(INTER_EQUIPE!E$13+INTER_VEÍCULO!E$33+('HORA PARADA_VEÍCULO'!E$9*$R34)+('CUSTO KM_VEÍCULO'!E$9*$D34)+EMBALAGEM!F$21+ENTREGA!E$4)*$U$7</f>
        <v>18973.158723363413</v>
      </c>
      <c r="G34" s="59"/>
      <c r="H34" s="60">
        <f>(INTER_EQUIPE!G$13+INTER_VEÍCULO!G$33+('HORA PARADA_VEÍCULO'!G$9*$R34)+('CUSTO KM_VEÍCULO'!G$9*$D34)+EMBALAGEM!H$21+ENTREGA!G$4)*$U$7</f>
        <v>24170.472126740206</v>
      </c>
      <c r="I34" s="59"/>
      <c r="J34" s="60">
        <f>(INTER_EQUIPE!I$13+INTER_VEÍCULO!I$33+('HORA PARADA_VEÍCULO'!I$9*$R34)+('CUSTO KM_VEÍCULO'!I$9*$D34)+EMBALAGEM!J$21+ENTREGA!I$4)*$U$7</f>
        <v>27394.7007511921</v>
      </c>
      <c r="K34" s="59"/>
      <c r="L34" s="60">
        <f>(INTER_EQUIPE!K$13+INTER_VEÍCULO!K$33+('HORA PARADA_VEÍCULO'!K$9*$R34)+('CUSTO KM_VEÍCULO'!K$9*$D34)+EMBALAGEM!L$21+ENTREGA!K$4)*$U$7</f>
        <v>30269.504482708609</v>
      </c>
      <c r="M34" s="59"/>
      <c r="N34" s="60">
        <f>(INTER_EQUIPE!M$13+INTER_VEÍCULO!M$33+('HORA PARADA_VEÍCULO'!M$9*$R34)+('CUSTO KM_VEÍCULO'!M$9*$D34)+EMBALAGEM!N$21+ENTREGA!M$4)*$U$7</f>
        <v>36786.171479295823</v>
      </c>
      <c r="O34" s="59"/>
      <c r="P34" s="60">
        <f>(INTER_EQUIPE!O$13+INTER_VEÍCULO!O$33+('HORA PARADA_VEÍCULO'!O$9*$R34)+('CUSTO KM_VEÍCULO'!O$9*$D34)+EMBALAGEM!P$21+ENTREGA!O$4)*$U$7</f>
        <v>42988.575427110263</v>
      </c>
      <c r="R34" s="22">
        <v>7</v>
      </c>
      <c r="T34" s="9"/>
      <c r="U34" s="9"/>
      <c r="V34" s="9"/>
      <c r="W34" s="9"/>
      <c r="X34" s="9"/>
    </row>
    <row r="35" spans="2:24" x14ac:dyDescent="0.25">
      <c r="B35" s="164">
        <v>3201</v>
      </c>
      <c r="C35" s="59"/>
      <c r="D35" s="164">
        <v>3400</v>
      </c>
      <c r="E35" s="2"/>
      <c r="F35" s="61">
        <f>(INTER_EQUIPE!E$13+INTER_VEÍCULO!E$33+('HORA PARADA_VEÍCULO'!E$9*$R35)+('CUSTO KM_VEÍCULO'!E$9*$D35)+EMBALAGEM!F$21+ENTREGA!E$4)*$U$7</f>
        <v>19549.480787072618</v>
      </c>
      <c r="G35" s="59"/>
      <c r="H35" s="61">
        <f>(INTER_EQUIPE!G$13+INTER_VEÍCULO!G$33+('HORA PARADA_VEÍCULO'!G$9*$R35)+('CUSTO KM_VEÍCULO'!G$9*$D35)+EMBALAGEM!H$21+ENTREGA!G$4)*$U$7</f>
        <v>24790.01510113927</v>
      </c>
      <c r="I35" s="59"/>
      <c r="J35" s="61">
        <f>(INTER_EQUIPE!I$13+INTER_VEÍCULO!I$33+('HORA PARADA_VEÍCULO'!I$9*$R35)+('CUSTO KM_VEÍCULO'!I$9*$D35)+EMBALAGEM!J$21+ENTREGA!I$4)*$U$7</f>
        <v>28112.614035947863</v>
      </c>
      <c r="K35" s="59"/>
      <c r="L35" s="61">
        <f>(INTER_EQUIPE!K$13+INTER_VEÍCULO!K$33+('HORA PARADA_VEÍCULO'!K$9*$R35)+('CUSTO KM_VEÍCULO'!K$9*$D35)+EMBALAGEM!L$21+ENTREGA!K$4)*$U$7</f>
        <v>30987.417767464369</v>
      </c>
      <c r="M35" s="59"/>
      <c r="N35" s="61">
        <f>(INTER_EQUIPE!M$13+INTER_VEÍCULO!M$33+('HORA PARADA_VEÍCULO'!M$9*$R35)+('CUSTO KM_VEÍCULO'!M$9*$D35)+EMBALAGEM!N$21+ENTREGA!M$4)*$U$7</f>
        <v>37644.915721178622</v>
      </c>
      <c r="O35" s="59"/>
      <c r="P35" s="61">
        <f>(INTER_EQUIPE!O$13+INTER_VEÍCULO!O$33+('HORA PARADA_VEÍCULO'!O$9*$R35)+('CUSTO KM_VEÍCULO'!O$9*$D35)+EMBALAGEM!P$21+ENTREGA!O$4)*$U$7</f>
        <v>43969.523117814453</v>
      </c>
      <c r="R35" s="23">
        <v>7</v>
      </c>
      <c r="T35" s="9"/>
      <c r="U35" s="9"/>
      <c r="V35" s="9"/>
      <c r="W35" s="9"/>
      <c r="X35" s="9"/>
    </row>
    <row r="36" spans="2:24" x14ac:dyDescent="0.25">
      <c r="B36" s="163">
        <v>3401</v>
      </c>
      <c r="C36" s="59"/>
      <c r="D36" s="163">
        <v>3600</v>
      </c>
      <c r="E36" s="2"/>
      <c r="F36" s="60">
        <f>(INTER_EQUIPE!E$13+INTER_VEÍCULO!E$33+('HORA PARADA_VEÍCULO'!E$9*$R36)+('CUSTO KM_VEÍCULO'!E$9*$D36)+EMBALAGEM!F$21+ENTREGA!E$4)*$U$7</f>
        <v>20125.80285078182</v>
      </c>
      <c r="G36" s="59"/>
      <c r="H36" s="60">
        <f>(INTER_EQUIPE!G$13+INTER_VEÍCULO!G$33+('HORA PARADA_VEÍCULO'!G$9*$R36)+('CUSTO KM_VEÍCULO'!G$9*$D36)+EMBALAGEM!H$21+ENTREGA!G$4)*$U$7</f>
        <v>25409.558075538331</v>
      </c>
      <c r="I36" s="59"/>
      <c r="J36" s="60">
        <f>(INTER_EQUIPE!I$13+INTER_VEÍCULO!I$33+('HORA PARADA_VEÍCULO'!I$9*$R36)+('CUSTO KM_VEÍCULO'!I$9*$D36)+EMBALAGEM!J$21+ENTREGA!I$4)*$U$7</f>
        <v>28830.52732070363</v>
      </c>
      <c r="K36" s="59"/>
      <c r="L36" s="60">
        <f>(INTER_EQUIPE!K$13+INTER_VEÍCULO!K$33+('HORA PARADA_VEÍCULO'!K$9*$R36)+('CUSTO KM_VEÍCULO'!K$9*$D36)+EMBALAGEM!L$21+ENTREGA!K$4)*$U$7</f>
        <v>31705.331052220132</v>
      </c>
      <c r="M36" s="59"/>
      <c r="N36" s="60">
        <f>(INTER_EQUIPE!M$13+INTER_VEÍCULO!M$33+('HORA PARADA_VEÍCULO'!M$9*$R36)+('CUSTO KM_VEÍCULO'!M$9*$D36)+EMBALAGEM!N$21+ENTREGA!M$4)*$U$7</f>
        <v>38503.659963061422</v>
      </c>
      <c r="O36" s="59"/>
      <c r="P36" s="60">
        <f>(INTER_EQUIPE!O$13+INTER_VEÍCULO!O$33+('HORA PARADA_VEÍCULO'!O$9*$R36)+('CUSTO KM_VEÍCULO'!O$9*$D36)+EMBALAGEM!P$21+ENTREGA!O$4)*$U$7</f>
        <v>44950.470808518643</v>
      </c>
      <c r="R36" s="22">
        <v>7</v>
      </c>
      <c r="T36" s="9"/>
      <c r="U36" s="9"/>
      <c r="V36" s="9"/>
      <c r="W36" s="9"/>
      <c r="X36" s="9"/>
    </row>
    <row r="37" spans="2:24" x14ac:dyDescent="0.25">
      <c r="B37" s="164">
        <v>3601</v>
      </c>
      <c r="C37" s="59"/>
      <c r="D37" s="164">
        <v>3800</v>
      </c>
      <c r="E37" s="2"/>
      <c r="F37" s="61">
        <f>(INTER_EQUIPE!E$13+INTER_VEÍCULO!E$33+('HORA PARADA_VEÍCULO'!E$9*$R37)+('CUSTO KM_VEÍCULO'!E$9*$D37)+EMBALAGEM!F$21+ENTREGA!E$4)*$U$7</f>
        <v>20702.124914491025</v>
      </c>
      <c r="G37" s="59"/>
      <c r="H37" s="61">
        <f>(INTER_EQUIPE!G$13+INTER_VEÍCULO!G$33+('HORA PARADA_VEÍCULO'!G$9*$R37)+('CUSTO KM_VEÍCULO'!G$9*$D37)+EMBALAGEM!H$21+ENTREGA!G$4)*$U$7</f>
        <v>26029.101049937392</v>
      </c>
      <c r="I37" s="59"/>
      <c r="J37" s="61">
        <f>(INTER_EQUIPE!I$13+INTER_VEÍCULO!I$33+('HORA PARADA_VEÍCULO'!I$9*$R37)+('CUSTO KM_VEÍCULO'!I$9*$D37)+EMBALAGEM!J$21+ENTREGA!I$4)*$U$7</f>
        <v>29548.440605459393</v>
      </c>
      <c r="K37" s="59"/>
      <c r="L37" s="61">
        <f>(INTER_EQUIPE!K$13+INTER_VEÍCULO!K$33+('HORA PARADA_VEÍCULO'!K$9*$R37)+('CUSTO KM_VEÍCULO'!K$9*$D37)+EMBALAGEM!L$21+ENTREGA!K$4)*$U$7</f>
        <v>32423.244336975895</v>
      </c>
      <c r="M37" s="59"/>
      <c r="N37" s="61">
        <f>(INTER_EQUIPE!M$13+INTER_VEÍCULO!M$33+('HORA PARADA_VEÍCULO'!M$9*$R37)+('CUSTO KM_VEÍCULO'!M$9*$D37)+EMBALAGEM!N$21+ENTREGA!M$4)*$U$7</f>
        <v>39362.404204944221</v>
      </c>
      <c r="O37" s="59"/>
      <c r="P37" s="61">
        <f>(INTER_EQUIPE!O$13+INTER_VEÍCULO!O$33+('HORA PARADA_VEÍCULO'!O$9*$R37)+('CUSTO KM_VEÍCULO'!O$9*$D37)+EMBALAGEM!P$21+ENTREGA!O$4)*$U$7</f>
        <v>45931.418499222833</v>
      </c>
      <c r="R37" s="23">
        <v>7</v>
      </c>
      <c r="T37" s="9"/>
      <c r="U37" s="9"/>
      <c r="V37" s="9"/>
      <c r="W37" s="9"/>
      <c r="X37" s="9"/>
    </row>
    <row r="38" spans="2:24" x14ac:dyDescent="0.25">
      <c r="B38" s="163">
        <v>3801</v>
      </c>
      <c r="C38" s="59"/>
      <c r="D38" s="163">
        <v>4000</v>
      </c>
      <c r="E38" s="2"/>
      <c r="F38" s="60">
        <f>(INTER_EQUIPE!E$13+INTER_VEÍCULO!E$33+('HORA PARADA_VEÍCULO'!E$9*$R38)+('CUSTO KM_VEÍCULO'!E$9*$D38)+EMBALAGEM!F$21+ENTREGA!E$4)*$U$7</f>
        <v>22129.995635276813</v>
      </c>
      <c r="G38" s="59"/>
      <c r="H38" s="60">
        <f>(INTER_EQUIPE!G$13+INTER_VEÍCULO!G$33+('HORA PARADA_VEÍCULO'!G$9*$R38)+('CUSTO KM_VEÍCULO'!G$9*$D38)+EMBALAGEM!H$21+ENTREGA!G$4)*$U$7</f>
        <v>27603.761334032646</v>
      </c>
      <c r="I38" s="59"/>
      <c r="J38" s="60">
        <f>(INTER_EQUIPE!I$13+INTER_VEÍCULO!I$33+('HORA PARADA_VEÍCULO'!I$9*$R38)+('CUSTO KM_VEÍCULO'!I$9*$D38)+EMBALAGEM!J$21+ENTREGA!I$4)*$U$7</f>
        <v>31159.767787045141</v>
      </c>
      <c r="K38" s="59"/>
      <c r="L38" s="60">
        <f>(INTER_EQUIPE!K$13+INTER_VEÍCULO!K$33+('HORA PARADA_VEÍCULO'!K$9*$R38)+('CUSTO KM_VEÍCULO'!K$9*$D38)+EMBALAGEM!L$21+ENTREGA!K$4)*$U$7</f>
        <v>34034.571518561643</v>
      </c>
      <c r="M38" s="59"/>
      <c r="N38" s="60">
        <f>(INTER_EQUIPE!M$13+INTER_VEÍCULO!M$33+('HORA PARADA_VEÍCULO'!M$9*$R38)+('CUSTO KM_VEÍCULO'!M$9*$D38)+EMBALAGEM!N$21+ENTREGA!M$4)*$U$7</f>
        <v>41366.281768213303</v>
      </c>
      <c r="O38" s="59"/>
      <c r="P38" s="60">
        <f>(INTER_EQUIPE!O$13+INTER_VEÍCULO!O$33+('HORA PARADA_VEÍCULO'!O$9*$R38)+('CUSTO KM_VEÍCULO'!O$9*$D38)+EMBALAGEM!P$21+ENTREGA!O$4)*$U$7</f>
        <v>48072.48965113244</v>
      </c>
      <c r="R38" s="22">
        <v>8</v>
      </c>
      <c r="T38" s="9"/>
      <c r="U38" s="9"/>
      <c r="V38" s="9"/>
      <c r="W38" s="9"/>
      <c r="X38" s="9"/>
    </row>
    <row r="39" spans="2:24" x14ac:dyDescent="0.25">
      <c r="F39" s="49"/>
      <c r="P39" s="21"/>
      <c r="R39" s="21"/>
    </row>
    <row r="40" spans="2:24" x14ac:dyDescent="0.25">
      <c r="B40" s="58"/>
    </row>
    <row r="41" spans="2:24" x14ac:dyDescent="0.25">
      <c r="B41" s="58"/>
    </row>
    <row r="42" spans="2:24" x14ac:dyDescent="0.25">
      <c r="B42" s="58"/>
      <c r="F42" s="16"/>
      <c r="H42" s="16"/>
      <c r="J42" s="16"/>
      <c r="L42" s="16"/>
      <c r="N42" s="16"/>
      <c r="P42" s="16"/>
    </row>
  </sheetData>
  <mergeCells count="4">
    <mergeCell ref="D6:D7"/>
    <mergeCell ref="B6:B7"/>
    <mergeCell ref="O4:P4"/>
    <mergeCell ref="B4:N4"/>
  </mergeCells>
  <pageMargins left="0.25" right="0.25" top="0.75" bottom="0.75" header="0.3" footer="0.3"/>
  <pageSetup paperSize="9" scale="78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41"/>
  <sheetViews>
    <sheetView showGridLines="0" zoomScaleNormal="100" zoomScaleSheetLayoutView="100" workbookViewId="0">
      <selection activeCell="P10" sqref="P10"/>
    </sheetView>
  </sheetViews>
  <sheetFormatPr defaultColWidth="9.140625" defaultRowHeight="15" x14ac:dyDescent="0.25"/>
  <cols>
    <col min="1" max="1" width="9.140625" style="5"/>
    <col min="2" max="2" width="15.7109375" style="48" customWidth="1"/>
    <col min="3" max="3" width="0.85546875" style="8" customWidth="1"/>
    <col min="4" max="4" width="15.7109375" style="49" customWidth="1"/>
    <col min="5" max="5" width="0.85546875" style="8" customWidth="1"/>
    <col min="6" max="6" width="15.7109375" style="9" customWidth="1"/>
    <col min="7" max="7" width="0.85546875" style="15" customWidth="1"/>
    <col min="8" max="8" width="15.7109375" style="9" customWidth="1"/>
    <col min="9" max="9" width="0.85546875" style="15" customWidth="1"/>
    <col min="10" max="10" width="13.7109375" style="9" hidden="1" customWidth="1"/>
    <col min="11" max="11" width="0.85546875" style="9" hidden="1" customWidth="1"/>
    <col min="12" max="13" width="0" style="5" hidden="1" customWidth="1"/>
    <col min="14" max="14" width="9.7109375" style="5" bestFit="1" customWidth="1"/>
    <col min="15" max="16384" width="9.140625" style="5"/>
  </cols>
  <sheetData>
    <row r="1" spans="2:18" ht="15" customHeight="1" x14ac:dyDescent="0.25">
      <c r="C1" s="15"/>
      <c r="K1" s="15"/>
      <c r="L1" s="9"/>
      <c r="M1" s="15"/>
      <c r="N1" s="9"/>
      <c r="O1" s="15"/>
      <c r="P1" s="9"/>
      <c r="Q1" s="16"/>
      <c r="R1" s="9"/>
    </row>
    <row r="2" spans="2:18" ht="15" customHeight="1" x14ac:dyDescent="0.25">
      <c r="C2" s="15"/>
      <c r="K2" s="15"/>
      <c r="L2" s="9"/>
      <c r="M2" s="15"/>
      <c r="N2" s="9"/>
      <c r="O2" s="15"/>
      <c r="P2" s="9"/>
      <c r="Q2" s="16"/>
      <c r="R2" s="9"/>
    </row>
    <row r="3" spans="2:18" ht="15" customHeight="1" x14ac:dyDescent="0.25">
      <c r="C3" s="15"/>
      <c r="K3" s="15"/>
      <c r="L3" s="9"/>
      <c r="M3" s="15"/>
      <c r="N3" s="9"/>
      <c r="O3" s="15"/>
      <c r="P3" s="9"/>
      <c r="Q3" s="16"/>
      <c r="R3" s="9"/>
    </row>
    <row r="4" spans="2:18" ht="27.75" customHeight="1" x14ac:dyDescent="0.3">
      <c r="B4" s="183" t="s">
        <v>132</v>
      </c>
      <c r="C4" s="183"/>
      <c r="D4" s="183"/>
      <c r="E4" s="183"/>
      <c r="F4" s="183"/>
      <c r="G4" s="181" t="s">
        <v>158</v>
      </c>
      <c r="H4" s="181"/>
      <c r="I4" s="51"/>
      <c r="J4" s="51"/>
      <c r="K4" s="29"/>
    </row>
    <row r="5" spans="2:18" ht="4.5" customHeight="1" x14ac:dyDescent="0.25">
      <c r="C5" s="15"/>
      <c r="K5" s="15"/>
      <c r="L5" s="9"/>
      <c r="M5" s="15"/>
      <c r="N5" s="9"/>
      <c r="O5" s="15"/>
      <c r="P5" s="9"/>
      <c r="Q5" s="16"/>
      <c r="R5" s="9"/>
    </row>
    <row r="6" spans="2:18" x14ac:dyDescent="0.25">
      <c r="B6" s="180" t="s">
        <v>47</v>
      </c>
      <c r="D6" s="180" t="s">
        <v>48</v>
      </c>
      <c r="F6" s="63" t="s">
        <v>129</v>
      </c>
      <c r="G6" s="54"/>
      <c r="H6" s="63" t="s">
        <v>129</v>
      </c>
    </row>
    <row r="7" spans="2:18" ht="15.75" thickBot="1" x14ac:dyDescent="0.3">
      <c r="B7" s="180"/>
      <c r="D7" s="180"/>
      <c r="F7" s="65" t="s">
        <v>123</v>
      </c>
      <c r="G7" s="56"/>
      <c r="H7" s="65" t="s">
        <v>124</v>
      </c>
      <c r="J7" s="57" t="s">
        <v>71</v>
      </c>
      <c r="K7" s="31"/>
      <c r="L7" s="25" t="s">
        <v>68</v>
      </c>
      <c r="M7" s="26">
        <f>'TX E MARKUP'!C17</f>
        <v>1.9542700801250732</v>
      </c>
    </row>
    <row r="8" spans="2:18" x14ac:dyDescent="0.25">
      <c r="B8" s="49">
        <v>0</v>
      </c>
      <c r="D8" s="49">
        <v>50</v>
      </c>
      <c r="F8" s="66">
        <v>0.25</v>
      </c>
      <c r="G8" s="32"/>
      <c r="H8" s="32">
        <v>0.4</v>
      </c>
      <c r="I8" s="30"/>
      <c r="J8" s="22">
        <f>'TABELA DIRETA'!R8</f>
        <v>1</v>
      </c>
      <c r="K8" s="22"/>
      <c r="L8" s="27" t="s">
        <v>76</v>
      </c>
      <c r="M8" s="28"/>
    </row>
    <row r="9" spans="2:18" x14ac:dyDescent="0.25">
      <c r="B9" s="50">
        <v>51</v>
      </c>
      <c r="D9" s="50">
        <v>100</v>
      </c>
      <c r="F9" s="149" t="s">
        <v>134</v>
      </c>
      <c r="G9" s="150"/>
      <c r="H9" s="151" t="s">
        <v>134</v>
      </c>
      <c r="I9" s="16">
        <f>(INTER_EQUIPE!H$13+INTER_VEÍCULO!H$33+(($J9*'HORA PARADA_VEÍCULO'!N$9)+($D9*'CUSTO KM_VEÍCULO'!N$9)*I$8)+'HORA PARADA_VEÍCULO'!$K$9+EMBALAGEM!I$21+ENTREGA!H$4)*$M$7</f>
        <v>893.41389682998852</v>
      </c>
      <c r="J9" s="23">
        <f>'TABELA DIRETA'!R9</f>
        <v>1</v>
      </c>
      <c r="K9" s="22"/>
      <c r="L9" s="33"/>
      <c r="M9" s="34"/>
      <c r="N9" s="9"/>
      <c r="O9" s="9"/>
      <c r="P9" s="9"/>
    </row>
    <row r="10" spans="2:18" x14ac:dyDescent="0.25">
      <c r="B10" s="49">
        <v>101</v>
      </c>
      <c r="D10" s="49">
        <v>200</v>
      </c>
      <c r="F10" s="152" t="s">
        <v>134</v>
      </c>
      <c r="G10" s="150">
        <f>(INTER_EQUIPE!F$13+INTER_VEÍCULO!F$33+((($J10*'HORA PARADA_VEÍCULO'!$K$9)+($D10*'CUSTO KM_VEÍCULO'!$K$9))*G$8)+'HORA PARADA_VEÍCULO'!$K$9+EMBALAGEM!G$21+ENTREGA!F$4)*$M$7</f>
        <v>893.41389682998852</v>
      </c>
      <c r="H10" s="150" t="s">
        <v>134</v>
      </c>
      <c r="I10" s="16">
        <f>(INTER_EQUIPE!H$13+INTER_VEÍCULO!H$33+(($J10*'HORA PARADA_VEÍCULO'!N$9)+($D10*'CUSTO KM_VEÍCULO'!N$9)*I$8)+'HORA PARADA_VEÍCULO'!$K$9+EMBALAGEM!I$21+ENTREGA!H$4)*$M$7</f>
        <v>893.41389682998852</v>
      </c>
      <c r="J10" s="22">
        <f>'TABELA DIRETA'!R10</f>
        <v>1</v>
      </c>
      <c r="K10" s="22"/>
      <c r="L10" s="33"/>
      <c r="M10" s="35"/>
      <c r="N10" s="9"/>
      <c r="O10" s="9"/>
      <c r="P10" s="9"/>
    </row>
    <row r="11" spans="2:18" x14ac:dyDescent="0.25">
      <c r="B11" s="50">
        <v>201</v>
      </c>
      <c r="D11" s="50">
        <v>300</v>
      </c>
      <c r="F11" s="61">
        <f>(INTER_EQUIPE!E$13+INTER_VEÍCULO!E$33+((($J11*'HORA PARADA_VEÍCULO'!$K$9)+($D11*'CUSTO KM_VEÍCULO'!$K$9))*F$8)+'HORA PARADA_VEÍCULO'!$K$9+EMBALAGEM!F$21+ENTREGA!E$4)*$M$7</f>
        <v>5400.5034315084613</v>
      </c>
      <c r="G11" s="16">
        <f>(INTER_EQUIPE!F$13+INTER_VEÍCULO!F$33+((($J11*'HORA PARADA_VEÍCULO'!$K$9)+($D11*'CUSTO KM_VEÍCULO'!$K$9))*G$8)+'HORA PARADA_VEÍCULO'!$K$9+EMBALAGEM!G$21+ENTREGA!F$4)*$M$7</f>
        <v>893.41389682998852</v>
      </c>
      <c r="H11" s="20">
        <f>(INTER_EQUIPE!G$13+INTER_VEÍCULO!G$33+((($J11*'HORA PARADA_VEÍCULO'!$K$9)+($D11*'CUSTO KM_VEÍCULO'!$K$9))*H$8)+'HORA PARADA_VEÍCULO'!$K$9+EMBALAGEM!H$21+ENTREGA!G$4)*$M$7</f>
        <v>9610.8563536293095</v>
      </c>
      <c r="I11" s="16">
        <f>(INTER_EQUIPE!H$13+INTER_VEÍCULO!H$33+(($J11*'HORA PARADA_VEÍCULO'!N$9)+($D11*'CUSTO KM_VEÍCULO'!N$9)*I$8)+'HORA PARADA_VEÍCULO'!$K$9+EMBALAGEM!I$21+ENTREGA!H$4)*$M$7</f>
        <v>893.41389682998852</v>
      </c>
      <c r="J11" s="23">
        <f>'TABELA DIRETA'!R11</f>
        <v>2</v>
      </c>
      <c r="K11" s="22"/>
      <c r="L11" s="9"/>
      <c r="M11" s="9"/>
      <c r="N11" s="9"/>
      <c r="O11" s="9"/>
      <c r="P11" s="9"/>
    </row>
    <row r="12" spans="2:18" x14ac:dyDescent="0.25">
      <c r="B12" s="49">
        <v>301</v>
      </c>
      <c r="D12" s="49">
        <v>400</v>
      </c>
      <c r="F12" s="60">
        <f>(INTER_EQUIPE!E$13+INTER_VEÍCULO!E$33+((($J12*'HORA PARADA_VEÍCULO'!$K$9)+($D12*'CUSTO KM_VEÍCULO'!$K$9))*F$8)+'HORA PARADA_VEÍCULO'!$K$9+EMBALAGEM!F$21+ENTREGA!E$4)*$M$7</f>
        <v>5490.2425921029308</v>
      </c>
      <c r="G12" s="16">
        <f>(INTER_EQUIPE!F$13+INTER_VEÍCULO!F$33+((($J12*'HORA PARADA_VEÍCULO'!$K$9)+($D12*'CUSTO KM_VEÍCULO'!$K$9))*G$8)+'HORA PARADA_VEÍCULO'!$K$9+EMBALAGEM!G$21+ENTREGA!F$4)*$M$7</f>
        <v>893.41389682998852</v>
      </c>
      <c r="H12" s="16">
        <f>(INTER_EQUIPE!G$13+INTER_VEÍCULO!G$33+((($J12*'HORA PARADA_VEÍCULO'!$K$9)+($D12*'CUSTO KM_VEÍCULO'!$K$9))*H$8)+'HORA PARADA_VEÍCULO'!$K$9+EMBALAGEM!H$21+ENTREGA!G$4)*$M$7</f>
        <v>9754.4390105804614</v>
      </c>
      <c r="I12" s="16">
        <f>(INTER_EQUIPE!H$13+INTER_VEÍCULO!H$33+(($J12*'HORA PARADA_VEÍCULO'!N$9)+($D12*'CUSTO KM_VEÍCULO'!N$9)*I$8)+'HORA PARADA_VEÍCULO'!$K$9+EMBALAGEM!I$21+ENTREGA!H$4)*$M$7</f>
        <v>893.41389682998852</v>
      </c>
      <c r="J12" s="22">
        <f>'TABELA DIRETA'!R12</f>
        <v>2</v>
      </c>
      <c r="K12" s="22"/>
      <c r="L12" s="9"/>
      <c r="M12" s="9"/>
      <c r="N12" s="9"/>
      <c r="O12" s="9"/>
      <c r="P12" s="9"/>
    </row>
    <row r="13" spans="2:18" x14ac:dyDescent="0.25">
      <c r="B13" s="50">
        <v>401</v>
      </c>
      <c r="D13" s="50">
        <v>500</v>
      </c>
      <c r="F13" s="61">
        <f>(INTER_EQUIPE!E$13+INTER_VEÍCULO!E$33+((($J13*'HORA PARADA_VEÍCULO'!$K$9)+($D13*'CUSTO KM_VEÍCULO'!$K$9))*F$8)+'HORA PARADA_VEÍCULO'!$K$9+EMBALAGEM!F$21+ENTREGA!E$4)*$M$7</f>
        <v>5579.981752697402</v>
      </c>
      <c r="G13" s="16">
        <f>(INTER_EQUIPE!F$13+INTER_VEÍCULO!F$33+((($J13*'HORA PARADA_VEÍCULO'!$K$9)+($D13*'CUSTO KM_VEÍCULO'!$K$9))*G$8)+'HORA PARADA_VEÍCULO'!$K$9+EMBALAGEM!G$21+ENTREGA!F$4)*$M$7</f>
        <v>893.41389682998852</v>
      </c>
      <c r="H13" s="20">
        <f>(INTER_EQUIPE!G$13+INTER_VEÍCULO!G$33+((($J13*'HORA PARADA_VEÍCULO'!$K$9)+($D13*'CUSTO KM_VEÍCULO'!$K$9))*H$8)+'HORA PARADA_VEÍCULO'!$K$9+EMBALAGEM!H$21+ENTREGA!G$4)*$M$7</f>
        <v>9898.0216675316133</v>
      </c>
      <c r="I13" s="16">
        <f>(INTER_EQUIPE!H$13+INTER_VEÍCULO!H$33+(($J13*'HORA PARADA_VEÍCULO'!N$9)+($D13*'CUSTO KM_VEÍCULO'!N$9)*I$8)+'HORA PARADA_VEÍCULO'!$K$9+EMBALAGEM!I$21+ENTREGA!H$4)*$M$7</f>
        <v>893.41389682998852</v>
      </c>
      <c r="J13" s="23">
        <f>'TABELA DIRETA'!R13</f>
        <v>2</v>
      </c>
      <c r="K13" s="22"/>
      <c r="L13" s="9"/>
      <c r="M13" s="9"/>
      <c r="N13" s="9"/>
      <c r="O13" s="9"/>
      <c r="P13" s="9"/>
    </row>
    <row r="14" spans="2:18" x14ac:dyDescent="0.25">
      <c r="B14" s="49">
        <v>501</v>
      </c>
      <c r="D14" s="49">
        <v>600</v>
      </c>
      <c r="F14" s="60">
        <f>(INTER_EQUIPE!E$13+INTER_VEÍCULO!E$33+((($J14*'HORA PARADA_VEÍCULO'!$K$9)+($D14*'CUSTO KM_VEÍCULO'!$K$9))*F$8)+'HORA PARADA_VEÍCULO'!$K$9+EMBALAGEM!F$21+ENTREGA!E$4)*$M$7</f>
        <v>5669.7209132918715</v>
      </c>
      <c r="G14" s="16">
        <f>(INTER_EQUIPE!F$13+INTER_VEÍCULO!F$33+((($J14*'HORA PARADA_VEÍCULO'!$K$9)+($D14*'CUSTO KM_VEÍCULO'!$K$9))*G$8)+'HORA PARADA_VEÍCULO'!$K$9+EMBALAGEM!G$21+ENTREGA!F$4)*$M$7</f>
        <v>893.41389682998852</v>
      </c>
      <c r="H14" s="16">
        <f>(INTER_EQUIPE!G$13+INTER_VEÍCULO!G$33+((($J14*'HORA PARADA_VEÍCULO'!$K$9)+($D14*'CUSTO KM_VEÍCULO'!$K$9))*H$8)+'HORA PARADA_VEÍCULO'!$K$9+EMBALAGEM!H$21+ENTREGA!G$4)*$M$7</f>
        <v>10041.604324482765</v>
      </c>
      <c r="I14" s="16">
        <f>(INTER_EQUIPE!H$13+INTER_VEÍCULO!H$33+(($J14*'HORA PARADA_VEÍCULO'!N$9)+($D14*'CUSTO KM_VEÍCULO'!N$9)*I$8)+'HORA PARADA_VEÍCULO'!$K$9+EMBALAGEM!I$21+ENTREGA!H$4)*$M$7</f>
        <v>893.41389682998852</v>
      </c>
      <c r="J14" s="22">
        <f>'TABELA DIRETA'!R14</f>
        <v>2</v>
      </c>
      <c r="K14" s="22"/>
      <c r="L14" s="9"/>
      <c r="M14" s="9"/>
      <c r="N14" s="9"/>
      <c r="O14" s="9"/>
      <c r="P14" s="9"/>
    </row>
    <row r="15" spans="2:18" x14ac:dyDescent="0.25">
      <c r="B15" s="50">
        <v>601</v>
      </c>
      <c r="D15" s="50">
        <v>700</v>
      </c>
      <c r="F15" s="61">
        <f>(INTER_EQUIPE!E$13+INTER_VEÍCULO!E$33+((($J15*'HORA PARADA_VEÍCULO'!$K$9)+($D15*'CUSTO KM_VEÍCULO'!$K$9))*F$8)+'HORA PARADA_VEÍCULO'!$K$9+EMBALAGEM!F$21+ENTREGA!E$4)*$M$7</f>
        <v>5759.4600738863428</v>
      </c>
      <c r="G15" s="16">
        <f>(INTER_EQUIPE!F$13+INTER_VEÍCULO!F$33+((($J15*'HORA PARADA_VEÍCULO'!$K$9)+($D15*'CUSTO KM_VEÍCULO'!$K$9))*G$8)+'HORA PARADA_VEÍCULO'!$K$9+EMBALAGEM!G$21+ENTREGA!F$4)*$M$7</f>
        <v>893.41389682998852</v>
      </c>
      <c r="H15" s="20">
        <f>(INTER_EQUIPE!G$13+INTER_VEÍCULO!G$33+((($J15*'HORA PARADA_VEÍCULO'!$K$9)+($D15*'CUSTO KM_VEÍCULO'!$K$9))*H$8)+'HORA PARADA_VEÍCULO'!$K$9+EMBALAGEM!H$21+ENTREGA!G$4)*$M$7</f>
        <v>10185.186981433919</v>
      </c>
      <c r="I15" s="16">
        <f>(INTER_EQUIPE!H$13+INTER_VEÍCULO!H$33+(($J15*'HORA PARADA_VEÍCULO'!N$9)+($D15*'CUSTO KM_VEÍCULO'!N$9)*I$8)+'HORA PARADA_VEÍCULO'!$K$9+EMBALAGEM!I$21+ENTREGA!H$4)*$M$7</f>
        <v>893.41389682998852</v>
      </c>
      <c r="J15" s="23">
        <f>'TABELA DIRETA'!R15</f>
        <v>2</v>
      </c>
      <c r="K15" s="22"/>
      <c r="L15" s="9"/>
      <c r="M15" s="9"/>
      <c r="N15" s="9"/>
      <c r="O15" s="9"/>
      <c r="P15" s="9"/>
    </row>
    <row r="16" spans="2:18" x14ac:dyDescent="0.25">
      <c r="B16" s="49">
        <v>701</v>
      </c>
      <c r="D16" s="49">
        <v>800</v>
      </c>
      <c r="F16" s="60">
        <f>(INTER_EQUIPE!E$13+INTER_VEÍCULO!E$33+((($J16*'HORA PARADA_VEÍCULO'!$K$9)+($D16*'CUSTO KM_VEÍCULO'!$K$9))*F$8)+'HORA PARADA_VEÍCULO'!$K$9+EMBALAGEM!F$21+ENTREGA!E$4)*$M$7</f>
        <v>6072.5527086883094</v>
      </c>
      <c r="G16" s="16">
        <f>(INTER_EQUIPE!F$13+INTER_VEÍCULO!F$33+((($J16*'HORA PARADA_VEÍCULO'!$K$9)+($D16*'CUSTO KM_VEÍCULO'!$K$9))*G$8)+'HORA PARADA_VEÍCULO'!$K$9+EMBALAGEM!G$21+ENTREGA!F$4)*$M$7</f>
        <v>893.41389682998852</v>
      </c>
      <c r="H16" s="16">
        <f>(INTER_EQUIPE!G$13+INTER_VEÍCULO!G$33+((($J16*'HORA PARADA_VEÍCULO'!$K$9)+($D16*'CUSTO KM_VEÍCULO'!$K$9))*H$8)+'HORA PARADA_VEÍCULO'!$K$9+EMBALAGEM!H$21+ENTREGA!G$4)*$M$7</f>
        <v>10686.135197117068</v>
      </c>
      <c r="I16" s="16">
        <f>(INTER_EQUIPE!H$13+INTER_VEÍCULO!H$33+(($J16*'HORA PARADA_VEÍCULO'!N$9)+($D16*'CUSTO KM_VEÍCULO'!N$9)*I$8)+'HORA PARADA_VEÍCULO'!$K$9+EMBALAGEM!I$21+ENTREGA!H$4)*$M$7</f>
        <v>893.41389682998852</v>
      </c>
      <c r="J16" s="22">
        <f>'TABELA DIRETA'!R16</f>
        <v>3</v>
      </c>
      <c r="K16" s="22"/>
      <c r="L16" s="9"/>
      <c r="M16" s="9"/>
      <c r="N16" s="9"/>
      <c r="O16" s="9"/>
      <c r="P16" s="9"/>
    </row>
    <row r="17" spans="2:16" x14ac:dyDescent="0.25">
      <c r="B17" s="50">
        <v>801</v>
      </c>
      <c r="D17" s="50">
        <v>900</v>
      </c>
      <c r="F17" s="61">
        <f>(INTER_EQUIPE!E$13+INTER_VEÍCULO!E$33+((($J17*'HORA PARADA_VEÍCULO'!$K$9)+($D17*'CUSTO KM_VEÍCULO'!$K$9))*F$8)+'HORA PARADA_VEÍCULO'!$K$9+EMBALAGEM!F$21+ENTREGA!E$4)*$M$7</f>
        <v>6162.2918692827798</v>
      </c>
      <c r="G17" s="16">
        <f>(INTER_EQUIPE!F$13+INTER_VEÍCULO!F$33+((($J17*'HORA PARADA_VEÍCULO'!$K$9)+($D17*'CUSTO KM_VEÍCULO'!$K$9))*G$8)+'HORA PARADA_VEÍCULO'!$K$9+EMBALAGEM!G$21+ENTREGA!F$4)*$M$7</f>
        <v>893.41389682998852</v>
      </c>
      <c r="H17" s="20">
        <f>(INTER_EQUIPE!G$13+INTER_VEÍCULO!G$33+((($J17*'HORA PARADA_VEÍCULO'!$K$9)+($D17*'CUSTO KM_VEÍCULO'!$K$9))*H$8)+'HORA PARADA_VEÍCULO'!$K$9+EMBALAGEM!H$21+ENTREGA!G$4)*$M$7</f>
        <v>10829.71785406822</v>
      </c>
      <c r="I17" s="16">
        <f>(INTER_EQUIPE!H$13+INTER_VEÍCULO!H$33+(($J17*'HORA PARADA_VEÍCULO'!N$9)+($D17*'CUSTO KM_VEÍCULO'!N$9)*I$8)+'HORA PARADA_VEÍCULO'!$K$9+EMBALAGEM!I$21+ENTREGA!H$4)*$M$7</f>
        <v>893.41389682998852</v>
      </c>
      <c r="J17" s="23">
        <f>'TABELA DIRETA'!R17</f>
        <v>3</v>
      </c>
      <c r="K17" s="22"/>
      <c r="L17" s="9"/>
      <c r="M17" s="9"/>
      <c r="N17" s="9"/>
      <c r="O17" s="9"/>
      <c r="P17" s="9"/>
    </row>
    <row r="18" spans="2:16" x14ac:dyDescent="0.25">
      <c r="B18" s="49">
        <v>901</v>
      </c>
      <c r="D18" s="49">
        <v>1000</v>
      </c>
      <c r="F18" s="60">
        <f>(INTER_EQUIPE!E$13+INTER_VEÍCULO!E$33+((($J18*'HORA PARADA_VEÍCULO'!$K$9)+($D18*'CUSTO KM_VEÍCULO'!$K$9))*F$8)+'HORA PARADA_VEÍCULO'!$K$9+EMBALAGEM!F$21+ENTREGA!E$4)*$M$7</f>
        <v>6252.0310298772501</v>
      </c>
      <c r="G18" s="16">
        <f>(INTER_EQUIPE!F$13+INTER_VEÍCULO!F$33+((($J18*'HORA PARADA_VEÍCULO'!$K$9)+($D18*'CUSTO KM_VEÍCULO'!$K$9))*G$8)+'HORA PARADA_VEÍCULO'!$K$9+EMBALAGEM!G$21+ENTREGA!F$4)*$M$7</f>
        <v>893.41389682998852</v>
      </c>
      <c r="H18" s="16">
        <f>(INTER_EQUIPE!G$13+INTER_VEÍCULO!G$33+((($J18*'HORA PARADA_VEÍCULO'!$K$9)+($D18*'CUSTO KM_VEÍCULO'!$K$9))*H$8)+'HORA PARADA_VEÍCULO'!$K$9+EMBALAGEM!H$21+ENTREGA!G$4)*$M$7</f>
        <v>10973.300511019372</v>
      </c>
      <c r="I18" s="16">
        <f>(INTER_EQUIPE!H$13+INTER_VEÍCULO!H$33+(($J18*'HORA PARADA_VEÍCULO'!N$9)+($D18*'CUSTO KM_VEÍCULO'!N$9)*I$8)+'HORA PARADA_VEÍCULO'!$K$9+EMBALAGEM!I$21+ENTREGA!H$4)*$M$7</f>
        <v>893.41389682998852</v>
      </c>
      <c r="J18" s="22">
        <f>'TABELA DIRETA'!R18</f>
        <v>3</v>
      </c>
      <c r="K18" s="22"/>
      <c r="L18" s="9"/>
      <c r="M18" s="9"/>
      <c r="N18" s="9"/>
      <c r="O18" s="9"/>
      <c r="P18" s="9"/>
    </row>
    <row r="19" spans="2:16" x14ac:dyDescent="0.25">
      <c r="B19" s="50">
        <v>1001</v>
      </c>
      <c r="D19" s="50">
        <v>1100</v>
      </c>
      <c r="F19" s="61">
        <f>(INTER_EQUIPE!E$13+INTER_VEÍCULO!E$33+((($J19*'HORA PARADA_VEÍCULO'!$K$9)+($D19*'CUSTO KM_VEÍCULO'!$K$9))*F$8)+'HORA PARADA_VEÍCULO'!$K$9+EMBALAGEM!F$21+ENTREGA!E$4)*$M$7</f>
        <v>6341.7701904717214</v>
      </c>
      <c r="G19" s="16">
        <f>(INTER_EQUIPE!F$13+INTER_VEÍCULO!F$33+((($J19*'HORA PARADA_VEÍCULO'!$K$9)+($D19*'CUSTO KM_VEÍCULO'!$K$9))*G$8)+'HORA PARADA_VEÍCULO'!$K$9+EMBALAGEM!G$21+ENTREGA!F$4)*$M$7</f>
        <v>893.41389682998852</v>
      </c>
      <c r="H19" s="20">
        <f>(INTER_EQUIPE!G$13+INTER_VEÍCULO!G$33+((($J19*'HORA PARADA_VEÍCULO'!$K$9)+($D19*'CUSTO KM_VEÍCULO'!$K$9))*H$8)+'HORA PARADA_VEÍCULO'!$K$9+EMBALAGEM!H$21+ENTREGA!G$4)*$M$7</f>
        <v>11116.883167970524</v>
      </c>
      <c r="I19" s="16">
        <f>(INTER_EQUIPE!H$13+INTER_VEÍCULO!H$33+(($J19*'HORA PARADA_VEÍCULO'!N$9)+($D19*'CUSTO KM_VEÍCULO'!N$9)*I$8)+'HORA PARADA_VEÍCULO'!$K$9+EMBALAGEM!I$21+ENTREGA!H$4)*$M$7</f>
        <v>893.41389682998852</v>
      </c>
      <c r="J19" s="23">
        <f>'TABELA DIRETA'!R19</f>
        <v>3</v>
      </c>
      <c r="K19" s="22"/>
      <c r="L19" s="9"/>
      <c r="M19" s="9"/>
      <c r="N19" s="9"/>
      <c r="O19" s="9"/>
      <c r="P19" s="9"/>
    </row>
    <row r="20" spans="2:16" x14ac:dyDescent="0.25">
      <c r="B20" s="49">
        <v>1101</v>
      </c>
      <c r="D20" s="49">
        <v>1200</v>
      </c>
      <c r="F20" s="60">
        <f>(INTER_EQUIPE!E$13+INTER_VEÍCULO!E$33+((($J20*'HORA PARADA_VEÍCULO'!$K$9)+($D20*'CUSTO KM_VEÍCULO'!$K$9))*F$8)+'HORA PARADA_VEÍCULO'!$K$9+EMBALAGEM!F$21+ENTREGA!E$4)*$M$7</f>
        <v>6431.5093510661918</v>
      </c>
      <c r="G20" s="16">
        <f>(INTER_EQUIPE!F$13+INTER_VEÍCULO!F$33+((($J20*'HORA PARADA_VEÍCULO'!$K$9)+($D20*'CUSTO KM_VEÍCULO'!$K$9))*G$8)+'HORA PARADA_VEÍCULO'!$K$9+EMBALAGEM!G$21+ENTREGA!F$4)*$M$7</f>
        <v>893.41389682998852</v>
      </c>
      <c r="H20" s="16">
        <f>(INTER_EQUIPE!G$13+INTER_VEÍCULO!G$33+((($J20*'HORA PARADA_VEÍCULO'!$K$9)+($D20*'CUSTO KM_VEÍCULO'!$K$9))*H$8)+'HORA PARADA_VEÍCULO'!$K$9+EMBALAGEM!H$21+ENTREGA!G$4)*$M$7</f>
        <v>11260.465824921677</v>
      </c>
      <c r="I20" s="16">
        <f>(INTER_EQUIPE!H$13+INTER_VEÍCULO!H$33+(($J20*'HORA PARADA_VEÍCULO'!N$9)+($D20*'CUSTO KM_VEÍCULO'!N$9)*I$8)+'HORA PARADA_VEÍCULO'!$K$9+EMBALAGEM!I$21+ENTREGA!H$4)*$M$7</f>
        <v>893.41389682998852</v>
      </c>
      <c r="J20" s="22">
        <f>'TABELA DIRETA'!R20</f>
        <v>3</v>
      </c>
      <c r="K20" s="22"/>
      <c r="L20" s="9"/>
      <c r="M20" s="9"/>
      <c r="N20" s="9"/>
      <c r="O20" s="9"/>
      <c r="P20" s="9"/>
    </row>
    <row r="21" spans="2:16" x14ac:dyDescent="0.25">
      <c r="B21" s="50">
        <v>1201</v>
      </c>
      <c r="D21" s="50">
        <v>1300</v>
      </c>
      <c r="F21" s="61">
        <f>(INTER_EQUIPE!E$13+INTER_VEÍCULO!E$33+((($J21*'HORA PARADA_VEÍCULO'!$K$9)+($D21*'CUSTO KM_VEÍCULO'!$K$9))*F$8)+'HORA PARADA_VEÍCULO'!$K$9+EMBALAGEM!F$21+ENTREGA!E$4)*$M$7</f>
        <v>6744.6019858681584</v>
      </c>
      <c r="G21" s="16">
        <f>(INTER_EQUIPE!F$13+INTER_VEÍCULO!F$33+((($J21*'HORA PARADA_VEÍCULO'!$K$9)+($D21*'CUSTO KM_VEÍCULO'!$K$9))*G$8)+'HORA PARADA_VEÍCULO'!$K$9+EMBALAGEM!G$21+ENTREGA!F$4)*$M$7</f>
        <v>893.41389682998852</v>
      </c>
      <c r="H21" s="20">
        <f>(INTER_EQUIPE!G$13+INTER_VEÍCULO!G$33+((($J21*'HORA PARADA_VEÍCULO'!$K$9)+($D21*'CUSTO KM_VEÍCULO'!$K$9))*H$8)+'HORA PARADA_VEÍCULO'!$K$9+EMBALAGEM!H$21+ENTREGA!G$4)*$M$7</f>
        <v>11761.414040604826</v>
      </c>
      <c r="I21" s="16">
        <f>(INTER_EQUIPE!H$13+INTER_VEÍCULO!H$33+(($J21*'HORA PARADA_VEÍCULO'!N$9)+($D21*'CUSTO KM_VEÍCULO'!N$9)*I$8)+'HORA PARADA_VEÍCULO'!$K$9+EMBALAGEM!I$21+ENTREGA!H$4)*$M$7</f>
        <v>893.41389682998852</v>
      </c>
      <c r="J21" s="23">
        <f>'TABELA DIRETA'!R21</f>
        <v>4</v>
      </c>
      <c r="K21" s="22"/>
      <c r="L21" s="9"/>
      <c r="M21" s="9"/>
      <c r="N21" s="9"/>
      <c r="O21" s="9"/>
      <c r="P21" s="9"/>
    </row>
    <row r="22" spans="2:16" x14ac:dyDescent="0.25">
      <c r="B22" s="49">
        <v>1301</v>
      </c>
      <c r="D22" s="49">
        <v>1400</v>
      </c>
      <c r="F22" s="60">
        <f>(INTER_EQUIPE!E$13+INTER_VEÍCULO!E$33+((($J22*'HORA PARADA_VEÍCULO'!$K$9)+($D22*'CUSTO KM_VEÍCULO'!$K$9))*F$8)+'HORA PARADA_VEÍCULO'!$K$9+EMBALAGEM!F$21+ENTREGA!E$4)*$M$7</f>
        <v>6834.3411464626288</v>
      </c>
      <c r="G22" s="16">
        <f>(INTER_EQUIPE!F$13+INTER_VEÍCULO!F$33+((($J22*'HORA PARADA_VEÍCULO'!$K$9)+($D22*'CUSTO KM_VEÍCULO'!$K$9))*G$8)+'HORA PARADA_VEÍCULO'!$K$9+EMBALAGEM!G$21+ENTREGA!F$4)*$M$7</f>
        <v>893.41389682998852</v>
      </c>
      <c r="H22" s="16">
        <f>(INTER_EQUIPE!G$13+INTER_VEÍCULO!G$33+((($J22*'HORA PARADA_VEÍCULO'!$K$9)+($D22*'CUSTO KM_VEÍCULO'!$K$9))*H$8)+'HORA PARADA_VEÍCULO'!$K$9+EMBALAGEM!H$21+ENTREGA!G$4)*$M$7</f>
        <v>11904.996697555978</v>
      </c>
      <c r="I22" s="16">
        <f>(INTER_EQUIPE!H$13+INTER_VEÍCULO!H$33+(($J22*'HORA PARADA_VEÍCULO'!N$9)+($D22*'CUSTO KM_VEÍCULO'!N$9)*I$8)+'HORA PARADA_VEÍCULO'!$K$9+EMBALAGEM!I$21+ENTREGA!H$4)*$M$7</f>
        <v>893.41389682998852</v>
      </c>
      <c r="J22" s="22">
        <f>'TABELA DIRETA'!R22</f>
        <v>4</v>
      </c>
      <c r="K22" s="22"/>
      <c r="L22" s="9"/>
      <c r="M22" s="9"/>
      <c r="N22" s="9"/>
      <c r="O22" s="9"/>
      <c r="P22" s="9"/>
    </row>
    <row r="23" spans="2:16" x14ac:dyDescent="0.25">
      <c r="B23" s="50">
        <v>1401</v>
      </c>
      <c r="D23" s="50">
        <v>1500</v>
      </c>
      <c r="F23" s="61">
        <f>(INTER_EQUIPE!E$13+INTER_VEÍCULO!E$33+((($J23*'HORA PARADA_VEÍCULO'!$K$9)+($D23*'CUSTO KM_VEÍCULO'!$K$9))*F$8)+'HORA PARADA_VEÍCULO'!$K$9+EMBALAGEM!F$21+ENTREGA!E$4)*$M$7</f>
        <v>6924.0803070570992</v>
      </c>
      <c r="G23" s="16">
        <f>(INTER_EQUIPE!F$13+INTER_VEÍCULO!F$33+((($J23*'HORA PARADA_VEÍCULO'!$K$9)+($D23*'CUSTO KM_VEÍCULO'!$K$9))*G$8)+'HORA PARADA_VEÍCULO'!$K$9+EMBALAGEM!G$21+ENTREGA!F$4)*$M$7</f>
        <v>893.41389682998852</v>
      </c>
      <c r="H23" s="20">
        <f>(INTER_EQUIPE!G$13+INTER_VEÍCULO!G$33+((($J23*'HORA PARADA_VEÍCULO'!$K$9)+($D23*'CUSTO KM_VEÍCULO'!$K$9))*H$8)+'HORA PARADA_VEÍCULO'!$K$9+EMBALAGEM!H$21+ENTREGA!G$4)*$M$7</f>
        <v>12048.57935450713</v>
      </c>
      <c r="I23" s="16">
        <f>(INTER_EQUIPE!H$13+INTER_VEÍCULO!H$33+(($J23*'HORA PARADA_VEÍCULO'!N$9)+($D23*'CUSTO KM_VEÍCULO'!N$9)*I$8)+'HORA PARADA_VEÍCULO'!$K$9+EMBALAGEM!I$21+ENTREGA!H$4)*$M$7</f>
        <v>893.41389682998852</v>
      </c>
      <c r="J23" s="23">
        <f>'TABELA DIRETA'!R23</f>
        <v>4</v>
      </c>
      <c r="K23" s="22"/>
      <c r="L23" s="9"/>
      <c r="M23" s="9"/>
      <c r="N23" s="9"/>
      <c r="O23" s="9"/>
      <c r="P23" s="9"/>
    </row>
    <row r="24" spans="2:16" x14ac:dyDescent="0.25">
      <c r="B24" s="49">
        <v>1501</v>
      </c>
      <c r="D24" s="49">
        <v>1600</v>
      </c>
      <c r="F24" s="60">
        <f>(INTER_EQUIPE!E$13+INTER_VEÍCULO!E$33+((($J24*'HORA PARADA_VEÍCULO'!$K$9)+($D24*'CUSTO KM_VEÍCULO'!$K$9))*F$8)+'HORA PARADA_VEÍCULO'!$K$9+EMBALAGEM!F$21+ENTREGA!E$4)*$M$7</f>
        <v>7013.8194676515695</v>
      </c>
      <c r="G24" s="16">
        <f>(INTER_EQUIPE!F$13+INTER_VEÍCULO!F$33+((($J24*'HORA PARADA_VEÍCULO'!$K$9)+($D24*'CUSTO KM_VEÍCULO'!$K$9))*G$8)+'HORA PARADA_VEÍCULO'!$K$9+EMBALAGEM!G$21+ENTREGA!F$4)*$M$7</f>
        <v>893.41389682998852</v>
      </c>
      <c r="H24" s="16">
        <f>(INTER_EQUIPE!G$13+INTER_VEÍCULO!G$33+((($J24*'HORA PARADA_VEÍCULO'!$K$9)+($D24*'CUSTO KM_VEÍCULO'!$K$9))*H$8)+'HORA PARADA_VEÍCULO'!$K$9+EMBALAGEM!H$21+ENTREGA!G$4)*$M$7</f>
        <v>12192.162011458282</v>
      </c>
      <c r="I24" s="16">
        <f>(INTER_EQUIPE!H$13+INTER_VEÍCULO!H$33+(($J24*'HORA PARADA_VEÍCULO'!N$9)+($D24*'CUSTO KM_VEÍCULO'!N$9)*I$8)+'HORA PARADA_VEÍCULO'!$K$9+EMBALAGEM!I$21+ENTREGA!H$4)*$M$7</f>
        <v>893.41389682998852</v>
      </c>
      <c r="J24" s="22">
        <f>'TABELA DIRETA'!R24</f>
        <v>4</v>
      </c>
      <c r="K24" s="22"/>
      <c r="L24" s="9"/>
      <c r="M24" s="9"/>
      <c r="N24" s="9"/>
      <c r="O24" s="9"/>
      <c r="P24" s="9"/>
    </row>
    <row r="25" spans="2:16" x14ac:dyDescent="0.25">
      <c r="B25" s="50">
        <v>1601</v>
      </c>
      <c r="D25" s="50">
        <v>1700</v>
      </c>
      <c r="F25" s="61">
        <f>(INTER_EQUIPE!E$13+INTER_VEÍCULO!E$33+((($J25*'HORA PARADA_VEÍCULO'!$K$9)+($D25*'CUSTO KM_VEÍCULO'!$K$9))*F$8)+'HORA PARADA_VEÍCULO'!$K$9+EMBALAGEM!F$21+ENTREGA!E$4)*$M$7</f>
        <v>7103.5586282460399</v>
      </c>
      <c r="G25" s="16">
        <f>(INTER_EQUIPE!F$13+INTER_VEÍCULO!F$33+((($J25*'HORA PARADA_VEÍCULO'!$K$9)+($D25*'CUSTO KM_VEÍCULO'!$K$9))*G$8)+'HORA PARADA_VEÍCULO'!$K$9+EMBALAGEM!G$21+ENTREGA!F$4)*$M$7</f>
        <v>893.41389682998852</v>
      </c>
      <c r="H25" s="20">
        <f>(INTER_EQUIPE!G$13+INTER_VEÍCULO!G$33+((($J25*'HORA PARADA_VEÍCULO'!$K$9)+($D25*'CUSTO KM_VEÍCULO'!$K$9))*H$8)+'HORA PARADA_VEÍCULO'!$K$9+EMBALAGEM!H$21+ENTREGA!G$4)*$M$7</f>
        <v>12335.744668409436</v>
      </c>
      <c r="I25" s="16">
        <f>(INTER_EQUIPE!H$13+INTER_VEÍCULO!H$33+(($J25*'HORA PARADA_VEÍCULO'!N$9)+($D25*'CUSTO KM_VEÍCULO'!N$9)*I$8)+'HORA PARADA_VEÍCULO'!$K$9+EMBALAGEM!I$21+ENTREGA!H$4)*$M$7</f>
        <v>893.41389682998852</v>
      </c>
      <c r="J25" s="23">
        <f>'TABELA DIRETA'!R25</f>
        <v>4</v>
      </c>
      <c r="K25" s="22"/>
      <c r="L25" s="9"/>
      <c r="M25" s="9"/>
      <c r="N25" s="9"/>
      <c r="O25" s="9"/>
      <c r="P25" s="9"/>
    </row>
    <row r="26" spans="2:16" x14ac:dyDescent="0.25">
      <c r="B26" s="49">
        <v>1701</v>
      </c>
      <c r="D26" s="49">
        <v>1800</v>
      </c>
      <c r="F26" s="60">
        <f>(INTER_EQUIPE!E$13+INTER_VEÍCULO!E$33+((($J26*'HORA PARADA_VEÍCULO'!$K$9)+($D26*'CUSTO KM_VEÍCULO'!$K$9))*F$8)+'HORA PARADA_VEÍCULO'!$K$9+EMBALAGEM!F$21+ENTREGA!E$4)*$M$7</f>
        <v>7416.6512630480074</v>
      </c>
      <c r="G26" s="16">
        <f>(INTER_EQUIPE!F$13+INTER_VEÍCULO!F$33+((($J26*'HORA PARADA_VEÍCULO'!$K$9)+($D26*'CUSTO KM_VEÍCULO'!$K$9))*G$8)+'HORA PARADA_VEÍCULO'!$K$9+EMBALAGEM!G$21+ENTREGA!F$4)*$M$7</f>
        <v>893.41389682998852</v>
      </c>
      <c r="H26" s="16">
        <f>(INTER_EQUIPE!G$13+INTER_VEÍCULO!G$33+((($J26*'HORA PARADA_VEÍCULO'!$K$9)+($D26*'CUSTO KM_VEÍCULO'!$K$9))*H$8)+'HORA PARADA_VEÍCULO'!$K$9+EMBALAGEM!H$21+ENTREGA!G$4)*$M$7</f>
        <v>12836.692884092583</v>
      </c>
      <c r="I26" s="16">
        <f>(INTER_EQUIPE!H$13+INTER_VEÍCULO!H$33+(($J26*'HORA PARADA_VEÍCULO'!N$9)+($D26*'CUSTO KM_VEÍCULO'!N$9)*I$8)+'HORA PARADA_VEÍCULO'!$K$9+EMBALAGEM!I$21+ENTREGA!H$4)*$M$7</f>
        <v>893.41389682998852</v>
      </c>
      <c r="J26" s="22">
        <f>'TABELA DIRETA'!R26</f>
        <v>5</v>
      </c>
      <c r="K26" s="22"/>
      <c r="L26" s="9"/>
      <c r="M26" s="9"/>
      <c r="N26" s="9"/>
      <c r="O26" s="9"/>
      <c r="P26" s="9"/>
    </row>
    <row r="27" spans="2:16" x14ac:dyDescent="0.25">
      <c r="B27" s="50">
        <v>1801</v>
      </c>
      <c r="D27" s="50">
        <v>1900</v>
      </c>
      <c r="F27" s="61">
        <f>(INTER_EQUIPE!E$13+INTER_VEÍCULO!E$33+((($J27*'HORA PARADA_VEÍCULO'!$K$9)+($D27*'CUSTO KM_VEÍCULO'!$K$9))*F$8)+'HORA PARADA_VEÍCULO'!$K$9+EMBALAGEM!F$21+ENTREGA!E$4)*$M$7</f>
        <v>7506.3904236424778</v>
      </c>
      <c r="G27" s="16">
        <f>(INTER_EQUIPE!F$13+INTER_VEÍCULO!F$33+((($J27*'HORA PARADA_VEÍCULO'!$K$9)+($D27*'CUSTO KM_VEÍCULO'!$K$9))*G$8)+'HORA PARADA_VEÍCULO'!$K$9+EMBALAGEM!G$21+ENTREGA!F$4)*$M$7</f>
        <v>893.41389682998852</v>
      </c>
      <c r="H27" s="20">
        <f>(INTER_EQUIPE!G$13+INTER_VEÍCULO!G$33+((($J27*'HORA PARADA_VEÍCULO'!$K$9)+($D27*'CUSTO KM_VEÍCULO'!$K$9))*H$8)+'HORA PARADA_VEÍCULO'!$K$9+EMBALAGEM!H$21+ENTREGA!G$4)*$M$7</f>
        <v>12980.275541043735</v>
      </c>
      <c r="I27" s="16">
        <f>(INTER_EQUIPE!H$13+INTER_VEÍCULO!H$33+(($J27*'HORA PARADA_VEÍCULO'!N$9)+($D27*'CUSTO KM_VEÍCULO'!N$9)*I$8)+'HORA PARADA_VEÍCULO'!$K$9+EMBALAGEM!I$21+ENTREGA!H$4)*$M$7</f>
        <v>893.41389682998852</v>
      </c>
      <c r="J27" s="23">
        <f>'TABELA DIRETA'!R27</f>
        <v>5</v>
      </c>
      <c r="K27" s="22"/>
      <c r="L27" s="9"/>
      <c r="M27" s="9"/>
      <c r="N27" s="9"/>
      <c r="O27" s="9"/>
      <c r="P27" s="9"/>
    </row>
    <row r="28" spans="2:16" x14ac:dyDescent="0.25">
      <c r="B28" s="49">
        <v>1901</v>
      </c>
      <c r="D28" s="49">
        <v>2000</v>
      </c>
      <c r="F28" s="60">
        <f>(INTER_EQUIPE!E$13+INTER_VEÍCULO!E$33+((($J28*'HORA PARADA_VEÍCULO'!$K$9)+($D28*'CUSTO KM_VEÍCULO'!$K$9))*F$8)+'HORA PARADA_VEÍCULO'!$K$9+EMBALAGEM!F$21+ENTREGA!E$4)*$M$7</f>
        <v>7596.1295842369482</v>
      </c>
      <c r="G28" s="16">
        <f>(INTER_EQUIPE!F$13+INTER_VEÍCULO!F$33+((($J28*'HORA PARADA_VEÍCULO'!$K$9)+($D28*'CUSTO KM_VEÍCULO'!$K$9))*G$8)+'HORA PARADA_VEÍCULO'!$K$9+EMBALAGEM!G$21+ENTREGA!F$4)*$M$7</f>
        <v>893.41389682998852</v>
      </c>
      <c r="H28" s="16">
        <f>(INTER_EQUIPE!G$13+INTER_VEÍCULO!G$33+((($J28*'HORA PARADA_VEÍCULO'!$K$9)+($D28*'CUSTO KM_VEÍCULO'!$K$9))*H$8)+'HORA PARADA_VEÍCULO'!$K$9+EMBALAGEM!H$21+ENTREGA!G$4)*$M$7</f>
        <v>13123.858197994887</v>
      </c>
      <c r="I28" s="16">
        <f>(INTER_EQUIPE!H$13+INTER_VEÍCULO!H$33+(($J28*'HORA PARADA_VEÍCULO'!N$9)+($D28*'CUSTO KM_VEÍCULO'!N$9)*I$8)+'HORA PARADA_VEÍCULO'!$K$9+EMBALAGEM!I$21+ENTREGA!H$4)*$M$7</f>
        <v>893.41389682998852</v>
      </c>
      <c r="J28" s="22">
        <f>'TABELA DIRETA'!R28</f>
        <v>5</v>
      </c>
      <c r="K28" s="22"/>
      <c r="L28" s="9"/>
      <c r="M28" s="9"/>
      <c r="N28" s="9"/>
      <c r="O28" s="9"/>
      <c r="P28" s="9"/>
    </row>
    <row r="29" spans="2:16" x14ac:dyDescent="0.25">
      <c r="B29" s="50">
        <v>2001</v>
      </c>
      <c r="D29" s="50">
        <v>2200</v>
      </c>
      <c r="F29" s="61">
        <f>(INTER_EQUIPE!E$13+INTER_VEÍCULO!E$33+((($J29*'HORA PARADA_VEÍCULO'!$K$9)+($D29*'CUSTO KM_VEÍCULO'!$K$9))*F$8)+'HORA PARADA_VEÍCULO'!$K$9+EMBALAGEM!F$21+ENTREGA!E$4)*$M$7</f>
        <v>7775.6079054258889</v>
      </c>
      <c r="G29" s="16">
        <f>(INTER_EQUIPE!F$13+INTER_VEÍCULO!F$33+((($J29*'HORA PARADA_VEÍCULO'!$K$9)+($D29*'CUSTO KM_VEÍCULO'!$K$9))*G$8)+'HORA PARADA_VEÍCULO'!$K$9+EMBALAGEM!G$21+ENTREGA!F$4)*$M$7</f>
        <v>893.41389682998852</v>
      </c>
      <c r="H29" s="20">
        <f>(INTER_EQUIPE!G$13+INTER_VEÍCULO!G$33+((($J29*'HORA PARADA_VEÍCULO'!$K$9)+($D29*'CUSTO KM_VEÍCULO'!$K$9))*H$8)+'HORA PARADA_VEÍCULO'!$K$9+EMBALAGEM!H$21+ENTREGA!G$4)*$M$7</f>
        <v>13411.023511897196</v>
      </c>
      <c r="I29" s="16">
        <f>(INTER_EQUIPE!H$13+INTER_VEÍCULO!H$33+(($J29*'HORA PARADA_VEÍCULO'!N$9)+($D29*'CUSTO KM_VEÍCULO'!N$9)*I$8)+'HORA PARADA_VEÍCULO'!$K$9+EMBALAGEM!I$21+ENTREGA!H$4)*$M$7</f>
        <v>893.41389682998852</v>
      </c>
      <c r="J29" s="23">
        <f>'TABELA DIRETA'!R29</f>
        <v>5</v>
      </c>
      <c r="K29" s="22"/>
      <c r="L29" s="9"/>
      <c r="M29" s="9"/>
      <c r="N29" s="9"/>
      <c r="O29" s="9"/>
      <c r="P29" s="9"/>
    </row>
    <row r="30" spans="2:16" x14ac:dyDescent="0.25">
      <c r="B30" s="49">
        <v>2201</v>
      </c>
      <c r="D30" s="49">
        <v>2400</v>
      </c>
      <c r="F30" s="60">
        <f>(INTER_EQUIPE!E$13+INTER_VEÍCULO!E$33+((($J30*'HORA PARADA_VEÍCULO'!$K$9)+($D30*'CUSTO KM_VEÍCULO'!$K$9))*F$8)+'HORA PARADA_VEÍCULO'!$K$9+EMBALAGEM!F$21+ENTREGA!E$4)*$M$7</f>
        <v>8178.4397008223268</v>
      </c>
      <c r="G30" s="16">
        <f>(INTER_EQUIPE!F$13+INTER_VEÍCULO!F$33+((($J30*'HORA PARADA_VEÍCULO'!$K$9)+($D30*'CUSTO KM_VEÍCULO'!$K$9))*G$8)+'HORA PARADA_VEÍCULO'!$K$9+EMBALAGEM!G$21+ENTREGA!F$4)*$M$7</f>
        <v>893.41389682998852</v>
      </c>
      <c r="H30" s="16">
        <f>(INTER_EQUIPE!G$13+INTER_VEÍCULO!G$33+((($J30*'HORA PARADA_VEÍCULO'!$K$9)+($D30*'CUSTO KM_VEÍCULO'!$K$9))*H$8)+'HORA PARADA_VEÍCULO'!$K$9+EMBALAGEM!H$21+ENTREGA!G$4)*$M$7</f>
        <v>14055.554384531495</v>
      </c>
      <c r="I30" s="16">
        <f>(INTER_EQUIPE!H$13+INTER_VEÍCULO!H$33+(($J30*'HORA PARADA_VEÍCULO'!N$9)+($D30*'CUSTO KM_VEÍCULO'!N$9)*I$8)+'HORA PARADA_VEÍCULO'!$K$9+EMBALAGEM!I$21+ENTREGA!H$4)*$M$7</f>
        <v>893.41389682998852</v>
      </c>
      <c r="J30" s="22">
        <f>'TABELA DIRETA'!R30</f>
        <v>6</v>
      </c>
      <c r="K30" s="22"/>
      <c r="L30" s="9"/>
      <c r="M30" s="9"/>
      <c r="N30" s="9"/>
      <c r="O30" s="9"/>
      <c r="P30" s="9"/>
    </row>
    <row r="31" spans="2:16" x14ac:dyDescent="0.25">
      <c r="B31" s="50">
        <v>2401</v>
      </c>
      <c r="D31" s="50">
        <v>2600</v>
      </c>
      <c r="F31" s="61">
        <f>(INTER_EQUIPE!E$13+INTER_VEÍCULO!E$33+((($J31*'HORA PARADA_VEÍCULO'!$K$9)+($D31*'CUSTO KM_VEÍCULO'!$K$9))*F$8)+'HORA PARADA_VEÍCULO'!$K$9+EMBALAGEM!F$21+ENTREGA!E$4)*$M$7</f>
        <v>8357.9180220112685</v>
      </c>
      <c r="G31" s="16">
        <f>(INTER_EQUIPE!F$13+INTER_VEÍCULO!F$33+((($J31*'HORA PARADA_VEÍCULO'!$K$9)+($D31*'CUSTO KM_VEÍCULO'!$K$9))*G$8)+'HORA PARADA_VEÍCULO'!$K$9+EMBALAGEM!G$21+ENTREGA!F$4)*$M$7</f>
        <v>893.41389682998852</v>
      </c>
      <c r="H31" s="20">
        <f>(INTER_EQUIPE!G$13+INTER_VEÍCULO!G$33+((($J31*'HORA PARADA_VEÍCULO'!$K$9)+($D31*'CUSTO KM_VEÍCULO'!$K$9))*H$8)+'HORA PARADA_VEÍCULO'!$K$9+EMBALAGEM!H$21+ENTREGA!G$4)*$M$7</f>
        <v>14342.719698433799</v>
      </c>
      <c r="I31" s="16">
        <f>(INTER_EQUIPE!H$13+INTER_VEÍCULO!H$33+(($J31*'HORA PARADA_VEÍCULO'!N$9)+($D31*'CUSTO KM_VEÍCULO'!N$9)*I$8)+'HORA PARADA_VEÍCULO'!$K$9+EMBALAGEM!I$21+ENTREGA!H$4)*$M$7</f>
        <v>893.41389682998852</v>
      </c>
      <c r="J31" s="23">
        <f>'TABELA DIRETA'!R31</f>
        <v>6</v>
      </c>
      <c r="K31" s="22"/>
      <c r="L31" s="9"/>
      <c r="M31" s="9"/>
      <c r="N31" s="9"/>
      <c r="O31" s="9"/>
      <c r="P31" s="9"/>
    </row>
    <row r="32" spans="2:16" x14ac:dyDescent="0.25">
      <c r="B32" s="49">
        <v>2601</v>
      </c>
      <c r="D32" s="49">
        <v>2800</v>
      </c>
      <c r="F32" s="60">
        <f>(INTER_EQUIPE!E$13+INTER_VEÍCULO!E$33+((($J32*'HORA PARADA_VEÍCULO'!$K$9)+($D32*'CUSTO KM_VEÍCULO'!$K$9))*F$8)+'HORA PARADA_VEÍCULO'!$K$9+EMBALAGEM!F$21+ENTREGA!E$4)*$M$7</f>
        <v>8537.3963432002074</v>
      </c>
      <c r="G32" s="16">
        <f>(INTER_EQUIPE!F$13+INTER_VEÍCULO!F$33+((($J32*'HORA PARADA_VEÍCULO'!$K$9)+($D32*'CUSTO KM_VEÍCULO'!$K$9))*G$8)+'HORA PARADA_VEÍCULO'!$K$9+EMBALAGEM!G$21+ENTREGA!F$4)*$M$7</f>
        <v>893.41389682998852</v>
      </c>
      <c r="H32" s="16">
        <f>(INTER_EQUIPE!G$13+INTER_VEÍCULO!G$33+((($J32*'HORA PARADA_VEÍCULO'!$K$9)+($D32*'CUSTO KM_VEÍCULO'!$K$9))*H$8)+'HORA PARADA_VEÍCULO'!$K$9+EMBALAGEM!H$21+ENTREGA!G$4)*$M$7</f>
        <v>14629.885012336104</v>
      </c>
      <c r="I32" s="16">
        <f>(INTER_EQUIPE!H$13+INTER_VEÍCULO!H$33+(($J32*'HORA PARADA_VEÍCULO'!N$9)+($D32*'CUSTO KM_VEÍCULO'!N$9)*I$8)+'HORA PARADA_VEÍCULO'!$K$9+EMBALAGEM!I$21+ENTREGA!H$4)*$M$7</f>
        <v>893.41389682998852</v>
      </c>
      <c r="J32" s="22">
        <f>'TABELA DIRETA'!R32</f>
        <v>6</v>
      </c>
      <c r="K32" s="22"/>
      <c r="L32" s="9"/>
      <c r="M32" s="9"/>
      <c r="N32" s="9"/>
      <c r="O32" s="9"/>
      <c r="P32" s="9"/>
    </row>
    <row r="33" spans="2:16" x14ac:dyDescent="0.25">
      <c r="B33" s="50">
        <v>2801</v>
      </c>
      <c r="D33" s="50">
        <v>3000</v>
      </c>
      <c r="F33" s="61">
        <f>(INTER_EQUIPE!E$13+INTER_VEÍCULO!E$33+((($J33*'HORA PARADA_VEÍCULO'!$K$9)+($D33*'CUSTO KM_VEÍCULO'!$K$9))*F$8)+'HORA PARADA_VEÍCULO'!$K$9+EMBALAGEM!F$21+ENTREGA!E$4)*$M$7</f>
        <v>8716.87466438915</v>
      </c>
      <c r="G33" s="16">
        <f>(INTER_EQUIPE!F$13+INTER_VEÍCULO!F$33+((($J33*'HORA PARADA_VEÍCULO'!$K$9)+($D33*'CUSTO KM_VEÍCULO'!$K$9))*G$8)+'HORA PARADA_VEÍCULO'!$K$9+EMBALAGEM!G$21+ENTREGA!F$4)*$M$7</f>
        <v>893.41389682998852</v>
      </c>
      <c r="H33" s="20">
        <f>(INTER_EQUIPE!G$13+INTER_VEÍCULO!G$33+((($J33*'HORA PARADA_VEÍCULO'!$K$9)+($D33*'CUSTO KM_VEÍCULO'!$K$9))*H$8)+'HORA PARADA_VEÍCULO'!$K$9+EMBALAGEM!H$21+ENTREGA!G$4)*$M$7</f>
        <v>14917.050326238408</v>
      </c>
      <c r="I33" s="16">
        <f>(INTER_EQUIPE!H$13+INTER_VEÍCULO!H$33+(($J33*'HORA PARADA_VEÍCULO'!N$9)+($D33*'CUSTO KM_VEÍCULO'!N$9)*I$8)+'HORA PARADA_VEÍCULO'!$K$9+EMBALAGEM!I$21+ENTREGA!H$4)*$M$7</f>
        <v>893.41389682998852</v>
      </c>
      <c r="J33" s="23">
        <f>'TABELA DIRETA'!R33</f>
        <v>6</v>
      </c>
      <c r="K33" s="22"/>
      <c r="L33" s="9"/>
      <c r="M33" s="9"/>
      <c r="N33" s="9"/>
      <c r="O33" s="9"/>
      <c r="P33" s="9"/>
    </row>
    <row r="34" spans="2:16" x14ac:dyDescent="0.25">
      <c r="B34" s="49">
        <v>3001</v>
      </c>
      <c r="D34" s="49">
        <v>3200</v>
      </c>
      <c r="F34" s="60">
        <f>(INTER_EQUIPE!E$13+INTER_VEÍCULO!E$33+((($J34*'HORA PARADA_VEÍCULO'!$K$9)+($D34*'CUSTO KM_VEÍCULO'!$K$9))*F$8)+'HORA PARADA_VEÍCULO'!$K$9+EMBALAGEM!F$21+ENTREGA!E$4)*$M$7</f>
        <v>9119.7064597855842</v>
      </c>
      <c r="G34" s="16">
        <f>(INTER_EQUIPE!F$13+INTER_VEÍCULO!F$33+((($J34*'HORA PARADA_VEÍCULO'!$K$9)+($D34*'CUSTO KM_VEÍCULO'!$K$9))*G$8)+'HORA PARADA_VEÍCULO'!$K$9+EMBALAGEM!G$21+ENTREGA!F$4)*$M$7</f>
        <v>893.41389682998852</v>
      </c>
      <c r="H34" s="16">
        <f>(INTER_EQUIPE!G$13+INTER_VEÍCULO!G$33+((($J34*'HORA PARADA_VEÍCULO'!$K$9)+($D34*'CUSTO KM_VEÍCULO'!$K$9))*H$8)+'HORA PARADA_VEÍCULO'!$K$9+EMBALAGEM!H$21+ENTREGA!G$4)*$M$7</f>
        <v>15561.581198872709</v>
      </c>
      <c r="I34" s="16">
        <f>(INTER_EQUIPE!H$13+INTER_VEÍCULO!H$33+(($J34*'HORA PARADA_VEÍCULO'!N$9)+($D34*'CUSTO KM_VEÍCULO'!N$9)*I$8)+'HORA PARADA_VEÍCULO'!$K$9+EMBALAGEM!I$21+ENTREGA!H$4)*$M$7</f>
        <v>893.41389682998852</v>
      </c>
      <c r="J34" s="22">
        <f>'TABELA DIRETA'!R34</f>
        <v>7</v>
      </c>
      <c r="K34" s="22"/>
      <c r="L34" s="9"/>
      <c r="M34" s="9"/>
      <c r="N34" s="9"/>
      <c r="O34" s="9"/>
      <c r="P34" s="9"/>
    </row>
    <row r="35" spans="2:16" x14ac:dyDescent="0.25">
      <c r="B35" s="50">
        <v>3201</v>
      </c>
      <c r="D35" s="50">
        <v>3400</v>
      </c>
      <c r="F35" s="61">
        <f>(INTER_EQUIPE!E$13+INTER_VEÍCULO!E$33+((($J35*'HORA PARADA_VEÍCULO'!$K$9)+($D35*'CUSTO KM_VEÍCULO'!$K$9))*F$8)+'HORA PARADA_VEÍCULO'!$K$9+EMBALAGEM!F$21+ENTREGA!E$4)*$M$7</f>
        <v>9299.1847809745268</v>
      </c>
      <c r="G35" s="16">
        <f>(INTER_EQUIPE!F$13+INTER_VEÍCULO!F$33+((($J35*'HORA PARADA_VEÍCULO'!$K$9)+($D35*'CUSTO KM_VEÍCULO'!$K$9))*G$8)+'HORA PARADA_VEÍCULO'!$K$9+EMBALAGEM!G$21+ENTREGA!F$4)*$M$7</f>
        <v>893.41389682998852</v>
      </c>
      <c r="H35" s="20">
        <f>(INTER_EQUIPE!G$13+INTER_VEÍCULO!G$33+((($J35*'HORA PARADA_VEÍCULO'!$K$9)+($D35*'CUSTO KM_VEÍCULO'!$K$9))*H$8)+'HORA PARADA_VEÍCULO'!$K$9+EMBALAGEM!H$21+ENTREGA!G$4)*$M$7</f>
        <v>15848.746512775017</v>
      </c>
      <c r="I35" s="16">
        <f>(INTER_EQUIPE!H$13+INTER_VEÍCULO!H$33+(($J35*'HORA PARADA_VEÍCULO'!N$9)+($D35*'CUSTO KM_VEÍCULO'!N$9)*I$8)+'HORA PARADA_VEÍCULO'!$K$9+EMBALAGEM!I$21+ENTREGA!H$4)*$M$7</f>
        <v>893.41389682998852</v>
      </c>
      <c r="J35" s="23">
        <f>'TABELA DIRETA'!R35</f>
        <v>7</v>
      </c>
      <c r="K35" s="22"/>
      <c r="L35" s="9"/>
      <c r="M35" s="9"/>
      <c r="N35" s="9"/>
      <c r="O35" s="9"/>
      <c r="P35" s="9"/>
    </row>
    <row r="36" spans="2:16" x14ac:dyDescent="0.25">
      <c r="B36" s="49">
        <v>3401</v>
      </c>
      <c r="D36" s="49">
        <v>3600</v>
      </c>
      <c r="F36" s="60">
        <f>(INTER_EQUIPE!E$13+INTER_VEÍCULO!E$33+((($J36*'HORA PARADA_VEÍCULO'!$K$9)+($D36*'CUSTO KM_VEÍCULO'!$K$9))*F$8)+'HORA PARADA_VEÍCULO'!$K$9+EMBALAGEM!F$21+ENTREGA!E$4)*$M$7</f>
        <v>9478.6631021634676</v>
      </c>
      <c r="G36" s="16">
        <f>(INTER_EQUIPE!F$13+INTER_VEÍCULO!F$33+((($J36*'HORA PARADA_VEÍCULO'!$K$9)+($D36*'CUSTO KM_VEÍCULO'!$K$9))*G$8)+'HORA PARADA_VEÍCULO'!$K$9+EMBALAGEM!G$21+ENTREGA!F$4)*$M$7</f>
        <v>893.41389682998852</v>
      </c>
      <c r="H36" s="16">
        <f>(INTER_EQUIPE!G$13+INTER_VEÍCULO!G$33+((($J36*'HORA PARADA_VEÍCULO'!$K$9)+($D36*'CUSTO KM_VEÍCULO'!$K$9))*H$8)+'HORA PARADA_VEÍCULO'!$K$9+EMBALAGEM!H$21+ENTREGA!G$4)*$M$7</f>
        <v>16135.911826677322</v>
      </c>
      <c r="I36" s="16">
        <f>(INTER_EQUIPE!H$13+INTER_VEÍCULO!H$33+(($J36*'HORA PARADA_VEÍCULO'!N$9)+($D36*'CUSTO KM_VEÍCULO'!N$9)*I$8)+'HORA PARADA_VEÍCULO'!$K$9+EMBALAGEM!I$21+ENTREGA!H$4)*$M$7</f>
        <v>893.41389682998852</v>
      </c>
      <c r="J36" s="22">
        <f>'TABELA DIRETA'!R36</f>
        <v>7</v>
      </c>
      <c r="K36" s="22"/>
      <c r="L36" s="9"/>
      <c r="M36" s="9"/>
      <c r="N36" s="9"/>
      <c r="O36" s="9"/>
      <c r="P36" s="9"/>
    </row>
    <row r="37" spans="2:16" x14ac:dyDescent="0.25">
      <c r="B37" s="50">
        <v>3601</v>
      </c>
      <c r="D37" s="50">
        <v>3800</v>
      </c>
      <c r="F37" s="61">
        <f>(INTER_EQUIPE!E$13+INTER_VEÍCULO!E$33+((($J37*'HORA PARADA_VEÍCULO'!$K$9)+($D37*'CUSTO KM_VEÍCULO'!$K$9))*F$8)+'HORA PARADA_VEÍCULO'!$K$9+EMBALAGEM!F$21+ENTREGA!E$4)*$M$7</f>
        <v>9658.1414233524083</v>
      </c>
      <c r="G37" s="16">
        <f>(INTER_EQUIPE!F$13+INTER_VEÍCULO!F$33+((($J37*'HORA PARADA_VEÍCULO'!$K$9)+($D37*'CUSTO KM_VEÍCULO'!$K$9))*G$8)+'HORA PARADA_VEÍCULO'!$K$9+EMBALAGEM!G$21+ENTREGA!F$4)*$M$7</f>
        <v>893.41389682998852</v>
      </c>
      <c r="H37" s="20">
        <f>(INTER_EQUIPE!G$13+INTER_VEÍCULO!G$33+((($J37*'HORA PARADA_VEÍCULO'!$K$9)+($D37*'CUSTO KM_VEÍCULO'!$K$9))*H$8)+'HORA PARADA_VEÍCULO'!$K$9+EMBALAGEM!H$21+ENTREGA!G$4)*$M$7</f>
        <v>16423.077140579626</v>
      </c>
      <c r="I37" s="16">
        <f>(INTER_EQUIPE!H$13+INTER_VEÍCULO!H$33+(($J37*'HORA PARADA_VEÍCULO'!N$9)+($D37*'CUSTO KM_VEÍCULO'!N$9)*I$8)+'HORA PARADA_VEÍCULO'!$K$9+EMBALAGEM!I$21+ENTREGA!H$4)*$M$7</f>
        <v>893.41389682998852</v>
      </c>
      <c r="J37" s="23">
        <f>'TABELA DIRETA'!R37</f>
        <v>7</v>
      </c>
      <c r="K37" s="22"/>
      <c r="L37" s="9"/>
      <c r="M37" s="9"/>
      <c r="N37" s="9"/>
      <c r="O37" s="9"/>
      <c r="P37" s="9"/>
    </row>
    <row r="38" spans="2:16" x14ac:dyDescent="0.25">
      <c r="B38" s="49">
        <v>3801</v>
      </c>
      <c r="D38" s="49">
        <v>4000</v>
      </c>
      <c r="F38" s="60">
        <f>(INTER_EQUIPE!E$13+INTER_VEÍCULO!E$33+((($J38*'HORA PARADA_VEÍCULO'!$K$9)+($D38*'CUSTO KM_VEÍCULO'!$K$9))*F$8)+'HORA PARADA_VEÍCULO'!$K$9+EMBALAGEM!F$21+ENTREGA!E$4)*$M$7</f>
        <v>10060.973218748846</v>
      </c>
      <c r="G38" s="16">
        <f>(INTER_EQUIPE!F$13+INTER_VEÍCULO!F$33+((($J38*'HORA PARADA_VEÍCULO'!$K$9)+($D38*'CUSTO KM_VEÍCULO'!$K$9))*G$8)+'HORA PARADA_VEÍCULO'!$K$9+EMBALAGEM!G$21+ENTREGA!F$4)*$M$7</f>
        <v>893.41389682998852</v>
      </c>
      <c r="H38" s="16">
        <f>(INTER_EQUIPE!G$13+INTER_VEÍCULO!G$33+((($J38*'HORA PARADA_VEÍCULO'!$K$9)+($D38*'CUSTO KM_VEÍCULO'!$K$9))*H$8)+'HORA PARADA_VEÍCULO'!$K$9+EMBALAGEM!H$21+ENTREGA!G$4)*$M$7</f>
        <v>17067.608013213925</v>
      </c>
      <c r="I38" s="16">
        <f>(INTER_EQUIPE!H$13+INTER_VEÍCULO!H$33+(($J38*'HORA PARADA_VEÍCULO'!N$9)+($D38*'CUSTO KM_VEÍCULO'!N$9)*I$8)+'HORA PARADA_VEÍCULO'!$K$9+EMBALAGEM!I$21+ENTREGA!H$4)*$M$7</f>
        <v>893.41389682998852</v>
      </c>
      <c r="J38" s="22">
        <f>'TABELA DIRETA'!R38</f>
        <v>8</v>
      </c>
      <c r="K38" s="22"/>
      <c r="L38" s="9"/>
      <c r="M38" s="9"/>
      <c r="N38" s="9"/>
      <c r="O38" s="9"/>
      <c r="P38" s="9"/>
    </row>
    <row r="39" spans="2:16" x14ac:dyDescent="0.25">
      <c r="B39" s="58"/>
    </row>
    <row r="40" spans="2:16" x14ac:dyDescent="0.25">
      <c r="B40" s="58"/>
    </row>
    <row r="41" spans="2:16" x14ac:dyDescent="0.25">
      <c r="B41" s="58"/>
      <c r="F41" s="16"/>
      <c r="H41" s="16"/>
      <c r="J41" s="16"/>
      <c r="K41" s="16"/>
    </row>
  </sheetData>
  <mergeCells count="4">
    <mergeCell ref="D6:D7"/>
    <mergeCell ref="B6:B7"/>
    <mergeCell ref="G4:H4"/>
    <mergeCell ref="B4:F4"/>
  </mergeCells>
  <pageMargins left="0.25" right="0.25" top="0.75" bottom="0.75" header="0.3" footer="0.3"/>
  <pageSetup paperSize="9" scale="78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0"/>
  <sheetViews>
    <sheetView showGridLines="0" workbookViewId="0">
      <selection activeCell="H6" sqref="H6"/>
    </sheetView>
  </sheetViews>
  <sheetFormatPr defaultColWidth="9.140625" defaultRowHeight="12.75" x14ac:dyDescent="0.2"/>
  <cols>
    <col min="1" max="1" width="9.140625" style="153"/>
    <col min="2" max="2" width="41" style="153" bestFit="1" customWidth="1"/>
    <col min="3" max="3" width="23.85546875" style="153" bestFit="1" customWidth="1"/>
    <col min="4" max="4" width="5.7109375" style="153" customWidth="1"/>
    <col min="5" max="5" width="10.85546875" style="153" customWidth="1"/>
    <col min="6" max="16384" width="9.140625" style="153"/>
  </cols>
  <sheetData>
    <row r="2" spans="1:5" ht="34.5" customHeight="1" x14ac:dyDescent="0.2"/>
    <row r="3" spans="1:5" ht="15" customHeight="1" x14ac:dyDescent="0.2">
      <c r="B3" s="184" t="s">
        <v>135</v>
      </c>
      <c r="C3" s="185"/>
      <c r="D3" s="181" t="s">
        <v>158</v>
      </c>
      <c r="E3" s="181"/>
    </row>
    <row r="4" spans="1:5" ht="6" customHeight="1" x14ac:dyDescent="0.2"/>
    <row r="5" spans="1:5" s="155" customFormat="1" ht="17.25" customHeight="1" x14ac:dyDescent="0.25">
      <c r="B5" s="175" t="s">
        <v>136</v>
      </c>
      <c r="C5" s="186" t="s">
        <v>137</v>
      </c>
      <c r="D5" s="187"/>
      <c r="E5" s="176" t="s">
        <v>138</v>
      </c>
    </row>
    <row r="6" spans="1:5" s="155" customFormat="1" ht="15" customHeight="1" x14ac:dyDescent="0.25">
      <c r="A6" s="157" t="s">
        <v>148</v>
      </c>
      <c r="B6" s="154" t="s">
        <v>141</v>
      </c>
      <c r="C6" s="177"/>
      <c r="D6" s="148"/>
      <c r="E6" s="178"/>
    </row>
    <row r="7" spans="1:5" s="155" customFormat="1" ht="15" customHeight="1" x14ac:dyDescent="0.25">
      <c r="B7" s="154" t="s">
        <v>142</v>
      </c>
      <c r="C7" s="156" t="s">
        <v>139</v>
      </c>
      <c r="D7" s="148"/>
      <c r="E7" s="158">
        <v>3.0000000000000001E-3</v>
      </c>
    </row>
    <row r="8" spans="1:5" s="155" customFormat="1" ht="15" customHeight="1" x14ac:dyDescent="0.25">
      <c r="B8" s="154" t="s">
        <v>143</v>
      </c>
      <c r="C8" s="156" t="s">
        <v>140</v>
      </c>
      <c r="D8" s="148"/>
      <c r="E8" s="178">
        <v>8.6</v>
      </c>
    </row>
    <row r="9" spans="1:5" s="155" customFormat="1" ht="15" customHeight="1" x14ac:dyDescent="0.25">
      <c r="A9" s="157" t="s">
        <v>144</v>
      </c>
      <c r="B9" s="154" t="s">
        <v>145</v>
      </c>
      <c r="C9" s="156" t="s">
        <v>139</v>
      </c>
      <c r="D9" s="148"/>
      <c r="E9" s="158">
        <v>0.05</v>
      </c>
    </row>
    <row r="10" spans="1:5" s="155" customFormat="1" ht="15" customHeight="1" x14ac:dyDescent="0.25">
      <c r="A10" s="157" t="s">
        <v>146</v>
      </c>
      <c r="B10" s="154" t="s">
        <v>147</v>
      </c>
      <c r="C10" s="156" t="s">
        <v>139</v>
      </c>
      <c r="D10" s="148"/>
      <c r="E10" s="158">
        <v>0.02</v>
      </c>
    </row>
  </sheetData>
  <mergeCells count="3">
    <mergeCell ref="B3:C3"/>
    <mergeCell ref="D3:E3"/>
    <mergeCell ref="C5:D5"/>
  </mergeCells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B1:P21"/>
  <sheetViews>
    <sheetView topLeftCell="A10" zoomScaleNormal="100" zoomScaleSheetLayoutView="100" workbookViewId="0">
      <selection activeCell="E12" sqref="E12"/>
    </sheetView>
  </sheetViews>
  <sheetFormatPr defaultColWidth="9.140625" defaultRowHeight="15" x14ac:dyDescent="0.25"/>
  <cols>
    <col min="1" max="1" width="2.5703125" style="11" customWidth="1"/>
    <col min="2" max="2" width="18.85546875" style="2" customWidth="1"/>
    <col min="3" max="3" width="26.140625" style="11" customWidth="1"/>
    <col min="4" max="4" width="12.5703125" style="18" customWidth="1"/>
    <col min="5" max="5" width="5" style="17" bestFit="1" customWidth="1"/>
    <col min="6" max="6" width="10.5703125" style="18" bestFit="1" customWidth="1"/>
    <col min="7" max="7" width="5" style="17" bestFit="1" customWidth="1"/>
    <col min="8" max="8" width="11.85546875" style="18" bestFit="1" customWidth="1"/>
    <col min="9" max="9" width="5" style="17" bestFit="1" customWidth="1"/>
    <col min="10" max="10" width="11.85546875" style="18" bestFit="1" customWidth="1"/>
    <col min="11" max="11" width="5" style="17" bestFit="1" customWidth="1"/>
    <col min="12" max="12" width="11.85546875" style="18" bestFit="1" customWidth="1"/>
    <col min="13" max="13" width="5" style="17" bestFit="1" customWidth="1"/>
    <col min="14" max="14" width="11.85546875" style="18" bestFit="1" customWidth="1"/>
    <col min="15" max="15" width="5.28515625" style="17" bestFit="1" customWidth="1"/>
    <col min="16" max="16" width="11.85546875" style="18" bestFit="1" customWidth="1"/>
    <col min="17" max="16384" width="9.140625" style="11"/>
  </cols>
  <sheetData>
    <row r="1" spans="2:16" ht="9.75" customHeight="1" x14ac:dyDescent="0.25"/>
    <row r="2" spans="2:16" x14ac:dyDescent="0.25">
      <c r="B2" s="189" t="s">
        <v>157</v>
      </c>
      <c r="C2" s="189"/>
      <c r="D2" s="189"/>
      <c r="E2" s="189"/>
      <c r="F2" s="189"/>
      <c r="G2" s="189"/>
      <c r="H2" s="189"/>
      <c r="I2" s="189"/>
      <c r="J2" s="189"/>
      <c r="K2" s="189"/>
      <c r="L2" s="189"/>
      <c r="M2" s="189"/>
      <c r="N2" s="189"/>
      <c r="O2" s="189"/>
      <c r="P2" s="189"/>
    </row>
    <row r="3" spans="2:16" ht="6" customHeight="1" x14ac:dyDescent="0.25"/>
    <row r="4" spans="2:16" s="24" customFormat="1" ht="16.5" customHeight="1" x14ac:dyDescent="0.25">
      <c r="B4" s="171" t="s">
        <v>25</v>
      </c>
      <c r="C4" s="171" t="s">
        <v>45</v>
      </c>
      <c r="D4" s="172" t="s">
        <v>80</v>
      </c>
      <c r="E4" s="173">
        <v>15</v>
      </c>
      <c r="F4" s="174" t="s">
        <v>81</v>
      </c>
      <c r="G4" s="173">
        <v>30</v>
      </c>
      <c r="H4" s="174" t="s">
        <v>81</v>
      </c>
      <c r="I4" s="173">
        <v>45</v>
      </c>
      <c r="J4" s="174" t="s">
        <v>81</v>
      </c>
      <c r="K4" s="173">
        <v>60</v>
      </c>
      <c r="L4" s="174" t="s">
        <v>81</v>
      </c>
      <c r="M4" s="173">
        <v>75</v>
      </c>
      <c r="N4" s="174" t="s">
        <v>81</v>
      </c>
      <c r="O4" s="173">
        <v>90</v>
      </c>
      <c r="P4" s="174" t="s">
        <v>81</v>
      </c>
    </row>
    <row r="5" spans="2:16" x14ac:dyDescent="0.25">
      <c r="B5" s="188" t="s">
        <v>131</v>
      </c>
      <c r="C5" s="103" t="s">
        <v>26</v>
      </c>
      <c r="D5" s="168">
        <v>5.27</v>
      </c>
      <c r="E5" s="170">
        <v>10</v>
      </c>
      <c r="F5" s="99">
        <f>E5*$D5</f>
        <v>52.699999999999996</v>
      </c>
      <c r="G5" s="170">
        <v>25</v>
      </c>
      <c r="H5" s="99">
        <f t="shared" ref="H5:H20" si="0">G5*$D5</f>
        <v>131.75</v>
      </c>
      <c r="I5" s="170">
        <v>40</v>
      </c>
      <c r="J5" s="99">
        <f>I5*$D5</f>
        <v>210.79999999999998</v>
      </c>
      <c r="K5" s="170">
        <v>50</v>
      </c>
      <c r="L5" s="99">
        <f>K5*$D5</f>
        <v>263.5</v>
      </c>
      <c r="M5" s="170">
        <v>60</v>
      </c>
      <c r="N5" s="99">
        <f>M5*$D5</f>
        <v>316.2</v>
      </c>
      <c r="O5" s="170">
        <v>80</v>
      </c>
      <c r="P5" s="99">
        <f>O5*$D5</f>
        <v>421.59999999999997</v>
      </c>
    </row>
    <row r="6" spans="2:16" x14ac:dyDescent="0.25">
      <c r="B6" s="188"/>
      <c r="C6" s="103" t="s">
        <v>27</v>
      </c>
      <c r="D6" s="168">
        <v>8.86</v>
      </c>
      <c r="E6" s="170">
        <v>15</v>
      </c>
      <c r="F6" s="99">
        <f t="shared" ref="F6:F20" si="1">E6*$D6</f>
        <v>132.89999999999998</v>
      </c>
      <c r="G6" s="170">
        <v>40</v>
      </c>
      <c r="H6" s="99">
        <f t="shared" si="0"/>
        <v>354.4</v>
      </c>
      <c r="I6" s="170">
        <v>50</v>
      </c>
      <c r="J6" s="99">
        <f t="shared" ref="J6" si="2">I6*$D6</f>
        <v>443</v>
      </c>
      <c r="K6" s="170">
        <v>65</v>
      </c>
      <c r="L6" s="99">
        <f t="shared" ref="L6" si="3">K6*$D6</f>
        <v>575.9</v>
      </c>
      <c r="M6" s="170">
        <v>75</v>
      </c>
      <c r="N6" s="99">
        <f t="shared" ref="N6" si="4">M6*$D6</f>
        <v>664.5</v>
      </c>
      <c r="O6" s="170">
        <v>100</v>
      </c>
      <c r="P6" s="99">
        <f t="shared" ref="P6" si="5">O6*$D6</f>
        <v>886</v>
      </c>
    </row>
    <row r="7" spans="2:16" x14ac:dyDescent="0.25">
      <c r="B7" s="188"/>
      <c r="C7" s="103" t="s">
        <v>28</v>
      </c>
      <c r="D7" s="168">
        <v>7.19</v>
      </c>
      <c r="E7" s="170">
        <v>8</v>
      </c>
      <c r="F7" s="99">
        <f t="shared" si="1"/>
        <v>57.52</v>
      </c>
      <c r="G7" s="170">
        <v>20</v>
      </c>
      <c r="H7" s="99">
        <f t="shared" si="0"/>
        <v>143.80000000000001</v>
      </c>
      <c r="I7" s="170">
        <v>30</v>
      </c>
      <c r="J7" s="99">
        <f t="shared" ref="J7" si="6">I7*$D7</f>
        <v>215.70000000000002</v>
      </c>
      <c r="K7" s="170">
        <v>40</v>
      </c>
      <c r="L7" s="99">
        <f t="shared" ref="L7" si="7">K7*$D7</f>
        <v>287.60000000000002</v>
      </c>
      <c r="M7" s="170">
        <v>40</v>
      </c>
      <c r="N7" s="99">
        <f t="shared" ref="N7" si="8">M7*$D7</f>
        <v>287.60000000000002</v>
      </c>
      <c r="O7" s="170">
        <v>60</v>
      </c>
      <c r="P7" s="99">
        <f t="shared" ref="P7" si="9">O7*$D7</f>
        <v>431.40000000000003</v>
      </c>
    </row>
    <row r="8" spans="2:16" x14ac:dyDescent="0.25">
      <c r="B8" s="188"/>
      <c r="C8" s="103" t="s">
        <v>29</v>
      </c>
      <c r="D8" s="168">
        <v>13.42</v>
      </c>
      <c r="E8" s="170">
        <v>4</v>
      </c>
      <c r="F8" s="99">
        <f t="shared" si="1"/>
        <v>53.68</v>
      </c>
      <c r="G8" s="170">
        <v>10</v>
      </c>
      <c r="H8" s="99">
        <f t="shared" si="0"/>
        <v>134.19999999999999</v>
      </c>
      <c r="I8" s="170">
        <v>15</v>
      </c>
      <c r="J8" s="99">
        <f t="shared" ref="J8" si="10">I8*$D8</f>
        <v>201.3</v>
      </c>
      <c r="K8" s="170">
        <v>20</v>
      </c>
      <c r="L8" s="99">
        <f t="shared" ref="L8" si="11">K8*$D8</f>
        <v>268.39999999999998</v>
      </c>
      <c r="M8" s="170">
        <v>25</v>
      </c>
      <c r="N8" s="99">
        <f t="shared" ref="N8" si="12">M8*$D8</f>
        <v>335.5</v>
      </c>
      <c r="O8" s="170">
        <v>30</v>
      </c>
      <c r="P8" s="99">
        <f t="shared" ref="P8" si="13">O8*$D8</f>
        <v>402.6</v>
      </c>
    </row>
    <row r="9" spans="2:16" x14ac:dyDescent="0.25">
      <c r="B9" s="188"/>
      <c r="C9" s="103" t="s">
        <v>30</v>
      </c>
      <c r="D9" s="168">
        <v>12.07</v>
      </c>
      <c r="E9" s="170">
        <v>0</v>
      </c>
      <c r="F9" s="99">
        <f t="shared" si="1"/>
        <v>0</v>
      </c>
      <c r="G9" s="170">
        <v>0</v>
      </c>
      <c r="H9" s="99">
        <f t="shared" si="0"/>
        <v>0</v>
      </c>
      <c r="I9" s="170">
        <v>0</v>
      </c>
      <c r="J9" s="99">
        <f t="shared" ref="J9" si="14">I9*$D9</f>
        <v>0</v>
      </c>
      <c r="K9" s="170">
        <v>0</v>
      </c>
      <c r="L9" s="99">
        <f t="shared" ref="L9" si="15">K9*$D9</f>
        <v>0</v>
      </c>
      <c r="M9" s="170">
        <v>0</v>
      </c>
      <c r="N9" s="99">
        <f t="shared" ref="N9" si="16">M9*$D9</f>
        <v>0</v>
      </c>
      <c r="O9" s="170">
        <v>0</v>
      </c>
      <c r="P9" s="99">
        <f t="shared" ref="P9" si="17">O9*$D9</f>
        <v>0</v>
      </c>
    </row>
    <row r="10" spans="2:16" x14ac:dyDescent="0.25">
      <c r="B10" s="188"/>
      <c r="C10" s="103" t="s">
        <v>31</v>
      </c>
      <c r="D10" s="168">
        <v>15.71</v>
      </c>
      <c r="E10" s="170">
        <v>1</v>
      </c>
      <c r="F10" s="99">
        <f t="shared" si="1"/>
        <v>15.71</v>
      </c>
      <c r="G10" s="170">
        <v>1</v>
      </c>
      <c r="H10" s="99">
        <f t="shared" si="0"/>
        <v>15.71</v>
      </c>
      <c r="I10" s="170">
        <v>1</v>
      </c>
      <c r="J10" s="99">
        <f t="shared" ref="J10" si="18">I10*$D10</f>
        <v>15.71</v>
      </c>
      <c r="K10" s="170">
        <v>2</v>
      </c>
      <c r="L10" s="99">
        <f t="shared" ref="L10" si="19">K10*$D10</f>
        <v>31.42</v>
      </c>
      <c r="M10" s="170">
        <v>2</v>
      </c>
      <c r="N10" s="99">
        <f t="shared" ref="N10" si="20">M10*$D10</f>
        <v>31.42</v>
      </c>
      <c r="O10" s="170">
        <v>2</v>
      </c>
      <c r="P10" s="99">
        <f t="shared" ref="P10" si="21">O10*$D10</f>
        <v>31.42</v>
      </c>
    </row>
    <row r="11" spans="2:16" x14ac:dyDescent="0.25">
      <c r="B11" s="188"/>
      <c r="C11" s="103" t="s">
        <v>32</v>
      </c>
      <c r="D11" s="168">
        <v>16.38</v>
      </c>
      <c r="E11" s="170">
        <v>0</v>
      </c>
      <c r="F11" s="99">
        <f t="shared" si="1"/>
        <v>0</v>
      </c>
      <c r="G11" s="170">
        <v>1</v>
      </c>
      <c r="H11" s="99">
        <f t="shared" si="0"/>
        <v>16.38</v>
      </c>
      <c r="I11" s="170">
        <v>2</v>
      </c>
      <c r="J11" s="99">
        <f t="shared" ref="J11" si="22">I11*$D11</f>
        <v>32.76</v>
      </c>
      <c r="K11" s="170">
        <v>1</v>
      </c>
      <c r="L11" s="99">
        <f t="shared" ref="L11" si="23">K11*$D11</f>
        <v>16.38</v>
      </c>
      <c r="M11" s="170">
        <v>2</v>
      </c>
      <c r="N11" s="99">
        <f t="shared" ref="N11" si="24">M11*$D11</f>
        <v>32.76</v>
      </c>
      <c r="O11" s="170">
        <v>3</v>
      </c>
      <c r="P11" s="99">
        <f t="shared" ref="P11" si="25">O11*$D11</f>
        <v>49.14</v>
      </c>
    </row>
    <row r="12" spans="2:16" x14ac:dyDescent="0.25">
      <c r="B12" s="188"/>
      <c r="C12" s="103" t="s">
        <v>33</v>
      </c>
      <c r="D12" s="168">
        <v>3.35</v>
      </c>
      <c r="E12" s="170">
        <v>1</v>
      </c>
      <c r="F12" s="99">
        <f t="shared" si="1"/>
        <v>3.35</v>
      </c>
      <c r="G12" s="170">
        <v>1</v>
      </c>
      <c r="H12" s="99">
        <f t="shared" si="0"/>
        <v>3.35</v>
      </c>
      <c r="I12" s="170">
        <v>1</v>
      </c>
      <c r="J12" s="99">
        <f t="shared" ref="J12" si="26">I12*$D12</f>
        <v>3.35</v>
      </c>
      <c r="K12" s="170">
        <v>1</v>
      </c>
      <c r="L12" s="99">
        <f t="shared" ref="L12" si="27">K12*$D12</f>
        <v>3.35</v>
      </c>
      <c r="M12" s="170">
        <v>1</v>
      </c>
      <c r="N12" s="99">
        <f t="shared" ref="N12" si="28">M12*$D12</f>
        <v>3.35</v>
      </c>
      <c r="O12" s="170">
        <v>1</v>
      </c>
      <c r="P12" s="99">
        <f t="shared" ref="P12" si="29">O12*$D12</f>
        <v>3.35</v>
      </c>
    </row>
    <row r="13" spans="2:16" x14ac:dyDescent="0.25">
      <c r="B13" s="117" t="s">
        <v>34</v>
      </c>
      <c r="C13" s="103" t="s">
        <v>92</v>
      </c>
      <c r="D13" s="168">
        <v>36</v>
      </c>
      <c r="E13" s="170">
        <v>1</v>
      </c>
      <c r="F13" s="99">
        <f t="shared" si="1"/>
        <v>36</v>
      </c>
      <c r="G13" s="170">
        <v>2</v>
      </c>
      <c r="H13" s="99">
        <f t="shared" si="0"/>
        <v>72</v>
      </c>
      <c r="I13" s="170">
        <v>3</v>
      </c>
      <c r="J13" s="99">
        <f t="shared" ref="J13" si="30">I13*$D13</f>
        <v>108</v>
      </c>
      <c r="K13" s="170">
        <v>4</v>
      </c>
      <c r="L13" s="99">
        <f t="shared" ref="L13" si="31">K13*$D13</f>
        <v>144</v>
      </c>
      <c r="M13" s="170">
        <v>5</v>
      </c>
      <c r="N13" s="99">
        <f t="shared" ref="N13" si="32">M13*$D13</f>
        <v>180</v>
      </c>
      <c r="O13" s="170">
        <v>6</v>
      </c>
      <c r="P13" s="99">
        <f t="shared" ref="P13" si="33">O13*$D13</f>
        <v>216</v>
      </c>
    </row>
    <row r="14" spans="2:16" x14ac:dyDescent="0.25">
      <c r="B14" s="188" t="s">
        <v>35</v>
      </c>
      <c r="C14" s="103" t="s">
        <v>36</v>
      </c>
      <c r="D14" s="168">
        <v>7.22</v>
      </c>
      <c r="E14" s="170">
        <v>0</v>
      </c>
      <c r="F14" s="99">
        <f t="shared" si="1"/>
        <v>0</v>
      </c>
      <c r="G14" s="170">
        <v>0</v>
      </c>
      <c r="H14" s="99">
        <f t="shared" si="0"/>
        <v>0</v>
      </c>
      <c r="I14" s="170">
        <v>0</v>
      </c>
      <c r="J14" s="99">
        <f t="shared" ref="J14" si="34">I14*$D14</f>
        <v>0</v>
      </c>
      <c r="K14" s="170">
        <v>0</v>
      </c>
      <c r="L14" s="99">
        <f t="shared" ref="L14" si="35">K14*$D14</f>
        <v>0</v>
      </c>
      <c r="M14" s="170">
        <v>0</v>
      </c>
      <c r="N14" s="99">
        <f t="shared" ref="N14" si="36">M14*$D14</f>
        <v>0</v>
      </c>
      <c r="O14" s="170">
        <v>0</v>
      </c>
      <c r="P14" s="99">
        <f t="shared" ref="P14" si="37">O14*$D14</f>
        <v>0</v>
      </c>
    </row>
    <row r="15" spans="2:16" x14ac:dyDescent="0.25">
      <c r="B15" s="188"/>
      <c r="C15" s="103" t="s">
        <v>37</v>
      </c>
      <c r="D15" s="168">
        <v>12</v>
      </c>
      <c r="E15" s="170">
        <v>0</v>
      </c>
      <c r="F15" s="99">
        <f t="shared" si="1"/>
        <v>0</v>
      </c>
      <c r="G15" s="170">
        <v>0</v>
      </c>
      <c r="H15" s="99">
        <f t="shared" si="0"/>
        <v>0</v>
      </c>
      <c r="I15" s="170">
        <v>0</v>
      </c>
      <c r="J15" s="99">
        <f t="shared" ref="J15" si="38">I15*$D15</f>
        <v>0</v>
      </c>
      <c r="K15" s="170">
        <v>0</v>
      </c>
      <c r="L15" s="99">
        <f t="shared" ref="L15" si="39">K15*$D15</f>
        <v>0</v>
      </c>
      <c r="M15" s="170">
        <v>0</v>
      </c>
      <c r="N15" s="99">
        <f t="shared" ref="N15" si="40">M15*$D15</f>
        <v>0</v>
      </c>
      <c r="O15" s="170">
        <v>0</v>
      </c>
      <c r="P15" s="99">
        <f t="shared" ref="P15" si="41">O15*$D15</f>
        <v>0</v>
      </c>
    </row>
    <row r="16" spans="2:16" x14ac:dyDescent="0.25">
      <c r="B16" s="117" t="s">
        <v>38</v>
      </c>
      <c r="C16" s="103" t="s">
        <v>39</v>
      </c>
      <c r="D16" s="168">
        <v>11.2</v>
      </c>
      <c r="E16" s="170">
        <v>1</v>
      </c>
      <c r="F16" s="99">
        <f t="shared" si="1"/>
        <v>11.2</v>
      </c>
      <c r="G16" s="170">
        <v>1</v>
      </c>
      <c r="H16" s="99">
        <f t="shared" si="0"/>
        <v>11.2</v>
      </c>
      <c r="I16" s="170">
        <v>2</v>
      </c>
      <c r="J16" s="99">
        <f t="shared" ref="J16" si="42">I16*$D16</f>
        <v>22.4</v>
      </c>
      <c r="K16" s="170">
        <v>3</v>
      </c>
      <c r="L16" s="99">
        <f t="shared" ref="L16" si="43">K16*$D16</f>
        <v>33.599999999999994</v>
      </c>
      <c r="M16" s="170">
        <v>3</v>
      </c>
      <c r="N16" s="99">
        <f t="shared" ref="N16" si="44">M16*$D16</f>
        <v>33.599999999999994</v>
      </c>
      <c r="O16" s="170">
        <v>3</v>
      </c>
      <c r="P16" s="99">
        <f t="shared" ref="P16" si="45">O16*$D16</f>
        <v>33.599999999999994</v>
      </c>
    </row>
    <row r="17" spans="2:16" x14ac:dyDescent="0.25">
      <c r="B17" s="117" t="s">
        <v>40</v>
      </c>
      <c r="C17" s="103" t="s">
        <v>41</v>
      </c>
      <c r="D17" s="168">
        <v>6.73</v>
      </c>
      <c r="E17" s="170">
        <v>10</v>
      </c>
      <c r="F17" s="99">
        <f t="shared" si="1"/>
        <v>67.300000000000011</v>
      </c>
      <c r="G17" s="170">
        <v>15</v>
      </c>
      <c r="H17" s="99">
        <f t="shared" si="0"/>
        <v>100.95</v>
      </c>
      <c r="I17" s="170">
        <v>20</v>
      </c>
      <c r="J17" s="99">
        <f t="shared" ref="J17" si="46">I17*$D17</f>
        <v>134.60000000000002</v>
      </c>
      <c r="K17" s="170">
        <v>30</v>
      </c>
      <c r="L17" s="99">
        <f t="shared" ref="L17" si="47">K17*$D17</f>
        <v>201.9</v>
      </c>
      <c r="M17" s="170">
        <v>40</v>
      </c>
      <c r="N17" s="99">
        <f t="shared" ref="N17" si="48">M17*$D17</f>
        <v>269.20000000000005</v>
      </c>
      <c r="O17" s="170">
        <v>50</v>
      </c>
      <c r="P17" s="99">
        <f t="shared" ref="P17" si="49">O17*$D17</f>
        <v>336.5</v>
      </c>
    </row>
    <row r="18" spans="2:16" x14ac:dyDescent="0.25">
      <c r="B18" s="188" t="s">
        <v>155</v>
      </c>
      <c r="C18" s="103" t="s">
        <v>42</v>
      </c>
      <c r="D18" s="168">
        <v>46</v>
      </c>
      <c r="E18" s="170">
        <v>1</v>
      </c>
      <c r="F18" s="99">
        <f t="shared" si="1"/>
        <v>46</v>
      </c>
      <c r="G18" s="170">
        <v>2</v>
      </c>
      <c r="H18" s="99">
        <f t="shared" si="0"/>
        <v>92</v>
      </c>
      <c r="I18" s="170">
        <v>3</v>
      </c>
      <c r="J18" s="99">
        <f t="shared" ref="J18" si="50">I18*$D18</f>
        <v>138</v>
      </c>
      <c r="K18" s="170">
        <v>4</v>
      </c>
      <c r="L18" s="99">
        <f t="shared" ref="L18" si="51">K18*$D18</f>
        <v>184</v>
      </c>
      <c r="M18" s="170">
        <v>4</v>
      </c>
      <c r="N18" s="99">
        <f t="shared" ref="N18" si="52">M18*$D18</f>
        <v>184</v>
      </c>
      <c r="O18" s="170">
        <v>6</v>
      </c>
      <c r="P18" s="99">
        <f t="shared" ref="P18" si="53">O18*$D18</f>
        <v>276</v>
      </c>
    </row>
    <row r="19" spans="2:16" x14ac:dyDescent="0.25">
      <c r="B19" s="188"/>
      <c r="C19" s="103" t="s">
        <v>43</v>
      </c>
      <c r="D19" s="168">
        <v>102</v>
      </c>
      <c r="E19" s="170">
        <v>0.5</v>
      </c>
      <c r="F19" s="99">
        <f t="shared" si="1"/>
        <v>51</v>
      </c>
      <c r="G19" s="170">
        <v>1</v>
      </c>
      <c r="H19" s="99">
        <f t="shared" si="0"/>
        <v>102</v>
      </c>
      <c r="I19" s="170">
        <v>2</v>
      </c>
      <c r="J19" s="99">
        <f t="shared" ref="J19" si="54">I19*$D19</f>
        <v>204</v>
      </c>
      <c r="K19" s="170">
        <v>3</v>
      </c>
      <c r="L19" s="99">
        <f t="shared" ref="L19" si="55">K19*$D19</f>
        <v>306</v>
      </c>
      <c r="M19" s="170">
        <v>3</v>
      </c>
      <c r="N19" s="99">
        <f t="shared" ref="N19" si="56">M19*$D19</f>
        <v>306</v>
      </c>
      <c r="O19" s="170">
        <v>4</v>
      </c>
      <c r="P19" s="99">
        <f t="shared" ref="P19" si="57">O19*$D19</f>
        <v>408</v>
      </c>
    </row>
    <row r="20" spans="2:16" x14ac:dyDescent="0.25">
      <c r="B20" s="188"/>
      <c r="C20" s="103" t="s">
        <v>44</v>
      </c>
      <c r="D20" s="168">
        <v>127.2</v>
      </c>
      <c r="E20" s="170">
        <v>1</v>
      </c>
      <c r="F20" s="99">
        <f t="shared" si="1"/>
        <v>127.2</v>
      </c>
      <c r="G20" s="170">
        <v>1</v>
      </c>
      <c r="H20" s="99">
        <f t="shared" si="0"/>
        <v>127.2</v>
      </c>
      <c r="I20" s="170">
        <v>2</v>
      </c>
      <c r="J20" s="99">
        <f t="shared" ref="J20" si="58">I20*$D20</f>
        <v>254.4</v>
      </c>
      <c r="K20" s="170">
        <v>2</v>
      </c>
      <c r="L20" s="99">
        <f t="shared" ref="L20" si="59">K20*$D20</f>
        <v>254.4</v>
      </c>
      <c r="M20" s="170">
        <v>2</v>
      </c>
      <c r="N20" s="99">
        <f t="shared" ref="N20" si="60">M20*$D20</f>
        <v>254.4</v>
      </c>
      <c r="O20" s="170">
        <v>2</v>
      </c>
      <c r="P20" s="99">
        <f t="shared" ref="P20" si="61">O20*$D20</f>
        <v>254.4</v>
      </c>
    </row>
    <row r="21" spans="2:16" x14ac:dyDescent="0.25">
      <c r="B21" s="169" t="s">
        <v>156</v>
      </c>
      <c r="C21" s="106"/>
      <c r="D21" s="107"/>
      <c r="E21" s="125"/>
      <c r="F21" s="126">
        <f>SUM(F5:F20)</f>
        <v>654.55999999999995</v>
      </c>
      <c r="G21" s="127"/>
      <c r="H21" s="126">
        <f>SUM(H5:H20)</f>
        <v>1304.9400000000003</v>
      </c>
      <c r="I21" s="127"/>
      <c r="J21" s="126">
        <f>SUM(J5:J20)</f>
        <v>1984.02</v>
      </c>
      <c r="K21" s="127"/>
      <c r="L21" s="126">
        <f>SUM(L5:L20)</f>
        <v>2570.4500000000003</v>
      </c>
      <c r="M21" s="127"/>
      <c r="N21" s="126">
        <f>SUM(N5:N20)</f>
        <v>2898.53</v>
      </c>
      <c r="O21" s="127"/>
      <c r="P21" s="126">
        <f>SUM(P5:P20)</f>
        <v>3750.0099999999998</v>
      </c>
    </row>
  </sheetData>
  <mergeCells count="4">
    <mergeCell ref="B5:B12"/>
    <mergeCell ref="B14:B15"/>
    <mergeCell ref="B18:B20"/>
    <mergeCell ref="B2:P2"/>
  </mergeCells>
  <pageMargins left="0.511811024" right="0.511811024" top="0.78740157499999996" bottom="0.78740157499999996" header="0.31496062000000002" footer="0.31496062000000002"/>
  <pageSetup paperSize="9" scale="78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B2:E20"/>
  <sheetViews>
    <sheetView showGridLines="0" workbookViewId="0">
      <selection activeCell="E11" sqref="E11"/>
    </sheetView>
  </sheetViews>
  <sheetFormatPr defaultRowHeight="15" x14ac:dyDescent="0.25"/>
  <cols>
    <col min="1" max="1" width="5.42578125" customWidth="1"/>
    <col min="2" max="2" width="41" customWidth="1"/>
    <col min="3" max="3" width="10.140625" style="19" customWidth="1"/>
    <col min="5" max="5" width="10.5703125" bestFit="1" customWidth="1"/>
  </cols>
  <sheetData>
    <row r="2" spans="2:5" ht="15" customHeight="1" x14ac:dyDescent="0.25">
      <c r="B2" s="192" t="s">
        <v>153</v>
      </c>
      <c r="C2" s="192"/>
    </row>
    <row r="3" spans="2:5" x14ac:dyDescent="0.25">
      <c r="B3" s="192"/>
      <c r="C3" s="192"/>
    </row>
    <row r="4" spans="2:5" ht="4.5" customHeight="1" x14ac:dyDescent="0.25"/>
    <row r="5" spans="2:5" ht="15.75" customHeight="1" x14ac:dyDescent="0.25">
      <c r="B5" s="190" t="s">
        <v>154</v>
      </c>
      <c r="C5" s="191"/>
    </row>
    <row r="6" spans="2:5" ht="4.5" customHeight="1" x14ac:dyDescent="0.25">
      <c r="C6" s="78"/>
    </row>
    <row r="7" spans="2:5" x14ac:dyDescent="0.25">
      <c r="B7" s="74" t="s">
        <v>19</v>
      </c>
      <c r="C7" s="81" t="s">
        <v>75</v>
      </c>
    </row>
    <row r="8" spans="2:5" x14ac:dyDescent="0.25">
      <c r="B8" s="69" t="s">
        <v>72</v>
      </c>
      <c r="C8" s="165">
        <v>0.2</v>
      </c>
    </row>
    <row r="9" spans="2:5" x14ac:dyDescent="0.25">
      <c r="B9" s="68" t="s">
        <v>73</v>
      </c>
      <c r="C9" s="166">
        <v>0.03</v>
      </c>
    </row>
    <row r="10" spans="2:5" x14ac:dyDescent="0.25">
      <c r="B10" s="69" t="s">
        <v>149</v>
      </c>
      <c r="C10" s="165">
        <f>3%+0.65%+2%+1.08%+1.5%</f>
        <v>8.2299999999999998E-2</v>
      </c>
      <c r="D10" s="79"/>
    </row>
    <row r="11" spans="2:5" x14ac:dyDescent="0.25">
      <c r="B11" s="68" t="s">
        <v>74</v>
      </c>
      <c r="C11" s="166">
        <v>0.1</v>
      </c>
      <c r="D11" s="79"/>
    </row>
    <row r="12" spans="2:5" x14ac:dyDescent="0.25">
      <c r="B12" s="69" t="s">
        <v>77</v>
      </c>
      <c r="C12" s="165">
        <v>0.05</v>
      </c>
      <c r="D12" s="79"/>
    </row>
    <row r="13" spans="2:5" x14ac:dyDescent="0.25">
      <c r="B13" s="68" t="s">
        <v>150</v>
      </c>
      <c r="C13" s="166">
        <f>((12%+7%)/2)*0.8</f>
        <v>7.6000000000000012E-2</v>
      </c>
      <c r="D13" s="80"/>
    </row>
    <row r="14" spans="2:5" x14ac:dyDescent="0.25">
      <c r="B14" s="72" t="s">
        <v>77</v>
      </c>
      <c r="C14" s="161">
        <f>SUM(C8:C12)</f>
        <v>0.46229999999999999</v>
      </c>
      <c r="E14" s="10"/>
    </row>
    <row r="15" spans="2:5" x14ac:dyDescent="0.25">
      <c r="B15" s="74" t="s">
        <v>76</v>
      </c>
      <c r="C15" s="81">
        <f>SUM(C8:C13)-C12</f>
        <v>0.48830000000000001</v>
      </c>
      <c r="E15" s="10"/>
    </row>
    <row r="16" spans="2:5" x14ac:dyDescent="0.25">
      <c r="B16" s="159" t="s">
        <v>78</v>
      </c>
      <c r="C16" s="160">
        <f>1/(1-C14)</f>
        <v>1.8597731076808628</v>
      </c>
    </row>
    <row r="17" spans="2:3" x14ac:dyDescent="0.25">
      <c r="B17" s="159" t="s">
        <v>79</v>
      </c>
      <c r="C17" s="160">
        <f>1/(1-C15)</f>
        <v>1.9542700801250732</v>
      </c>
    </row>
    <row r="18" spans="2:3" ht="5.25" customHeight="1" x14ac:dyDescent="0.25"/>
    <row r="19" spans="2:3" ht="12.95" customHeight="1" x14ac:dyDescent="0.25">
      <c r="B19" s="167" t="s">
        <v>151</v>
      </c>
    </row>
    <row r="20" spans="2:3" ht="12.95" customHeight="1" x14ac:dyDescent="0.25">
      <c r="B20" s="167" t="s">
        <v>152</v>
      </c>
    </row>
  </sheetData>
  <mergeCells count="2">
    <mergeCell ref="B5:C5"/>
    <mergeCell ref="B2:C3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showGridLines="0" workbookViewId="0">
      <selection activeCell="G44" sqref="G44"/>
    </sheetView>
  </sheetViews>
  <sheetFormatPr defaultColWidth="9" defaultRowHeight="15" x14ac:dyDescent="0.25"/>
  <cols>
    <col min="1" max="1" width="23" style="5" customWidth="1"/>
    <col min="2" max="2" width="17.7109375" style="5" customWidth="1"/>
    <col min="3" max="3" width="15.7109375" style="5" customWidth="1"/>
    <col min="4" max="4" width="16.140625" style="5" customWidth="1"/>
    <col min="5" max="7" width="15.7109375" style="5" customWidth="1"/>
    <col min="8" max="8" width="12.85546875" style="5" bestFit="1" customWidth="1"/>
    <col min="9" max="16384" width="9" style="5"/>
  </cols>
  <sheetData>
    <row r="1" spans="1:7" x14ac:dyDescent="0.25">
      <c r="A1" s="1"/>
      <c r="B1" s="2"/>
      <c r="C1" s="2"/>
      <c r="D1" s="2"/>
      <c r="E1" s="2"/>
      <c r="F1" s="2"/>
      <c r="G1" s="2"/>
    </row>
    <row r="2" spans="1:7" x14ac:dyDescent="0.25">
      <c r="A2" s="190" t="s">
        <v>0</v>
      </c>
      <c r="B2" s="200"/>
      <c r="C2" s="200"/>
      <c r="D2" s="200"/>
      <c r="E2" s="200"/>
      <c r="F2" s="200"/>
      <c r="G2" s="200"/>
    </row>
    <row r="3" spans="1:7" ht="6" customHeight="1" x14ac:dyDescent="0.25">
      <c r="A3" s="1"/>
      <c r="B3" s="2"/>
      <c r="C3" s="2"/>
      <c r="D3" s="2"/>
      <c r="E3" s="2"/>
      <c r="F3" s="2"/>
      <c r="G3" s="2"/>
    </row>
    <row r="4" spans="1:7" x14ac:dyDescent="0.25">
      <c r="A4" s="194" t="s">
        <v>87</v>
      </c>
      <c r="B4" s="199" t="s">
        <v>1</v>
      </c>
      <c r="C4" s="132" t="s">
        <v>19</v>
      </c>
      <c r="D4" s="132" t="s">
        <v>22</v>
      </c>
      <c r="E4" s="194" t="s">
        <v>85</v>
      </c>
      <c r="F4" s="194"/>
      <c r="G4" s="132" t="s">
        <v>82</v>
      </c>
    </row>
    <row r="5" spans="1:7" x14ac:dyDescent="0.25">
      <c r="A5" s="194"/>
      <c r="B5" s="199"/>
      <c r="C5" s="117" t="s">
        <v>3</v>
      </c>
      <c r="D5" s="134">
        <v>150039</v>
      </c>
      <c r="E5" s="201">
        <v>0.01</v>
      </c>
      <c r="F5" s="201"/>
      <c r="G5" s="135">
        <f>(D5*E5)</f>
        <v>1500.39</v>
      </c>
    </row>
    <row r="6" spans="1:7" x14ac:dyDescent="0.25">
      <c r="A6" s="194"/>
      <c r="B6" s="199"/>
      <c r="C6" s="117" t="s">
        <v>4</v>
      </c>
      <c r="D6" s="134">
        <f>250000+26000</f>
        <v>276000</v>
      </c>
      <c r="E6" s="201">
        <v>0.01</v>
      </c>
      <c r="F6" s="201"/>
      <c r="G6" s="135">
        <f t="shared" ref="G6:G10" si="0">(D6*E6)</f>
        <v>2760</v>
      </c>
    </row>
    <row r="7" spans="1:7" x14ac:dyDescent="0.25">
      <c r="A7" s="194"/>
      <c r="B7" s="199"/>
      <c r="C7" s="117" t="s">
        <v>5</v>
      </c>
      <c r="D7" s="134">
        <v>389859</v>
      </c>
      <c r="E7" s="201">
        <v>0.01</v>
      </c>
      <c r="F7" s="201"/>
      <c r="G7" s="135">
        <f t="shared" si="0"/>
        <v>3898.59</v>
      </c>
    </row>
    <row r="8" spans="1:7" x14ac:dyDescent="0.25">
      <c r="A8" s="194"/>
      <c r="B8" s="199"/>
      <c r="C8" s="117" t="s">
        <v>6</v>
      </c>
      <c r="D8" s="134">
        <v>328115</v>
      </c>
      <c r="E8" s="201">
        <v>0.01</v>
      </c>
      <c r="F8" s="201"/>
      <c r="G8" s="135">
        <f t="shared" si="0"/>
        <v>3281.15</v>
      </c>
    </row>
    <row r="9" spans="1:7" x14ac:dyDescent="0.25">
      <c r="A9" s="194"/>
      <c r="B9" s="199"/>
      <c r="C9" s="117" t="s">
        <v>7</v>
      </c>
      <c r="D9" s="134">
        <f>510000+70000</f>
        <v>580000</v>
      </c>
      <c r="E9" s="201">
        <v>0.01</v>
      </c>
      <c r="F9" s="201"/>
      <c r="G9" s="135">
        <f t="shared" si="0"/>
        <v>5800</v>
      </c>
    </row>
    <row r="10" spans="1:7" x14ac:dyDescent="0.25">
      <c r="A10" s="194"/>
      <c r="B10" s="199"/>
      <c r="C10" s="117" t="s">
        <v>8</v>
      </c>
      <c r="D10" s="134">
        <f>565000+30000</f>
        <v>595000</v>
      </c>
      <c r="E10" s="201">
        <v>0.01</v>
      </c>
      <c r="F10" s="201"/>
      <c r="G10" s="135">
        <f t="shared" si="0"/>
        <v>5950</v>
      </c>
    </row>
    <row r="11" spans="1:7" x14ac:dyDescent="0.25">
      <c r="A11" s="194"/>
      <c r="B11" s="136" t="s">
        <v>2</v>
      </c>
      <c r="C11" s="202" t="s">
        <v>9</v>
      </c>
      <c r="D11" s="202"/>
      <c r="E11" s="202"/>
      <c r="F11" s="202"/>
      <c r="G11" s="137">
        <v>57</v>
      </c>
    </row>
    <row r="12" spans="1:7" x14ac:dyDescent="0.25">
      <c r="A12" s="3"/>
      <c r="B12" s="4"/>
      <c r="C12" s="4"/>
      <c r="D12" s="4"/>
      <c r="E12" s="4"/>
      <c r="F12" s="4"/>
      <c r="G12" s="4"/>
    </row>
    <row r="13" spans="1:7" x14ac:dyDescent="0.25">
      <c r="A13" s="194" t="s">
        <v>46</v>
      </c>
      <c r="B13" s="199" t="s">
        <v>11</v>
      </c>
      <c r="C13" s="198" t="s">
        <v>10</v>
      </c>
      <c r="D13" s="198"/>
      <c r="E13" s="198"/>
      <c r="F13" s="198"/>
      <c r="G13" s="138">
        <v>0.35</v>
      </c>
    </row>
    <row r="14" spans="1:7" x14ac:dyDescent="0.25">
      <c r="A14" s="194"/>
      <c r="B14" s="199"/>
      <c r="C14" s="132" t="s">
        <v>19</v>
      </c>
      <c r="D14" s="132" t="s">
        <v>20</v>
      </c>
      <c r="E14" s="132" t="s">
        <v>18</v>
      </c>
      <c r="F14" s="132" t="s">
        <v>21</v>
      </c>
      <c r="G14" s="139" t="s">
        <v>22</v>
      </c>
    </row>
    <row r="15" spans="1:7" x14ac:dyDescent="0.25">
      <c r="A15" s="194"/>
      <c r="B15" s="199"/>
      <c r="C15" s="117" t="s">
        <v>3</v>
      </c>
      <c r="D15" s="140">
        <v>735</v>
      </c>
      <c r="E15" s="141">
        <v>70000</v>
      </c>
      <c r="F15" s="136">
        <v>4</v>
      </c>
      <c r="G15" s="134">
        <f t="shared" ref="G15:G20" si="1">F15*(D15/E15)</f>
        <v>4.2000000000000003E-2</v>
      </c>
    </row>
    <row r="16" spans="1:7" x14ac:dyDescent="0.25">
      <c r="A16" s="194"/>
      <c r="B16" s="199"/>
      <c r="C16" s="117" t="s">
        <v>4</v>
      </c>
      <c r="D16" s="140">
        <f>603.8+345</f>
        <v>948.8</v>
      </c>
      <c r="E16" s="141">
        <v>10000</v>
      </c>
      <c r="F16" s="136">
        <v>4</v>
      </c>
      <c r="G16" s="134">
        <f t="shared" si="1"/>
        <v>0.37951999999999997</v>
      </c>
    </row>
    <row r="17" spans="1:7" x14ac:dyDescent="0.25">
      <c r="A17" s="194"/>
      <c r="B17" s="199"/>
      <c r="C17" s="117" t="s">
        <v>5</v>
      </c>
      <c r="D17" s="140">
        <v>1436.69</v>
      </c>
      <c r="E17" s="141">
        <v>200000</v>
      </c>
      <c r="F17" s="136">
        <v>6</v>
      </c>
      <c r="G17" s="134">
        <f t="shared" si="1"/>
        <v>4.3100699999999999E-2</v>
      </c>
    </row>
    <row r="18" spans="1:7" x14ac:dyDescent="0.25">
      <c r="A18" s="194"/>
      <c r="B18" s="199"/>
      <c r="C18" s="117" t="s">
        <v>6</v>
      </c>
      <c r="D18" s="140">
        <v>2822.23</v>
      </c>
      <c r="E18" s="141">
        <f>90000+80000+80000</f>
        <v>250000</v>
      </c>
      <c r="F18" s="136">
        <v>6</v>
      </c>
      <c r="G18" s="134">
        <f t="shared" si="1"/>
        <v>6.7733520000000005E-2</v>
      </c>
    </row>
    <row r="19" spans="1:7" x14ac:dyDescent="0.25">
      <c r="A19" s="194"/>
      <c r="B19" s="199"/>
      <c r="C19" s="117" t="s">
        <v>7</v>
      </c>
      <c r="D19" s="140">
        <f>2430+588+588</f>
        <v>3606</v>
      </c>
      <c r="E19" s="141">
        <f>90000+80000+80000</f>
        <v>250000</v>
      </c>
      <c r="F19" s="136">
        <v>10</v>
      </c>
      <c r="G19" s="134">
        <f t="shared" si="1"/>
        <v>0.14423999999999998</v>
      </c>
    </row>
    <row r="20" spans="1:7" x14ac:dyDescent="0.25">
      <c r="A20" s="194"/>
      <c r="B20" s="199"/>
      <c r="C20" s="117" t="s">
        <v>8</v>
      </c>
      <c r="D20" s="140">
        <f>2430+588+588</f>
        <v>3606</v>
      </c>
      <c r="E20" s="141">
        <f>90000+80000+80000</f>
        <v>250000</v>
      </c>
      <c r="F20" s="136">
        <v>12</v>
      </c>
      <c r="G20" s="134">
        <f t="shared" si="1"/>
        <v>0.17308799999999999</v>
      </c>
    </row>
    <row r="21" spans="1:7" x14ac:dyDescent="0.25">
      <c r="A21" s="82"/>
      <c r="B21" s="83"/>
      <c r="C21" s="83"/>
      <c r="D21" s="83"/>
      <c r="E21" s="83"/>
      <c r="F21" s="83"/>
      <c r="G21" s="83"/>
    </row>
    <row r="22" spans="1:7" x14ac:dyDescent="0.25">
      <c r="A22" s="197" t="s">
        <v>12</v>
      </c>
      <c r="B22" s="199" t="s">
        <v>83</v>
      </c>
      <c r="C22" s="132" t="s">
        <v>19</v>
      </c>
      <c r="D22" s="194" t="s">
        <v>86</v>
      </c>
      <c r="E22" s="194"/>
      <c r="F22" s="132" t="s">
        <v>21</v>
      </c>
      <c r="G22" s="132" t="s">
        <v>82</v>
      </c>
    </row>
    <row r="23" spans="1:7" x14ac:dyDescent="0.25">
      <c r="A23" s="197"/>
      <c r="B23" s="199"/>
      <c r="C23" s="117" t="s">
        <v>3</v>
      </c>
      <c r="D23" s="195">
        <f>(2%*D5)</f>
        <v>3000.78</v>
      </c>
      <c r="E23" s="195"/>
      <c r="F23" s="136">
        <v>12</v>
      </c>
      <c r="G23" s="134">
        <f>D23/F23</f>
        <v>250.06500000000003</v>
      </c>
    </row>
    <row r="24" spans="1:7" x14ac:dyDescent="0.25">
      <c r="A24" s="197"/>
      <c r="B24" s="199"/>
      <c r="C24" s="117" t="s">
        <v>4</v>
      </c>
      <c r="D24" s="195">
        <f>(2%*D6)</f>
        <v>5520</v>
      </c>
      <c r="E24" s="195"/>
      <c r="F24" s="136">
        <v>12</v>
      </c>
      <c r="G24" s="134">
        <f t="shared" ref="G24:G31" si="2">D24/F24</f>
        <v>460</v>
      </c>
    </row>
    <row r="25" spans="1:7" x14ac:dyDescent="0.25">
      <c r="A25" s="197"/>
      <c r="B25" s="199"/>
      <c r="C25" s="117" t="s">
        <v>5</v>
      </c>
      <c r="D25" s="195">
        <f>(1.5%*D7)</f>
        <v>5847.8850000000002</v>
      </c>
      <c r="E25" s="195"/>
      <c r="F25" s="136">
        <v>12</v>
      </c>
      <c r="G25" s="134">
        <f t="shared" si="2"/>
        <v>487.32375000000002</v>
      </c>
    </row>
    <row r="26" spans="1:7" x14ac:dyDescent="0.25">
      <c r="A26" s="197"/>
      <c r="B26" s="199"/>
      <c r="C26" s="117" t="s">
        <v>6</v>
      </c>
      <c r="D26" s="195">
        <f>(1.5%*D8)</f>
        <v>4921.7249999999995</v>
      </c>
      <c r="E26" s="195"/>
      <c r="F26" s="136">
        <v>12</v>
      </c>
      <c r="G26" s="134">
        <f t="shared" si="2"/>
        <v>410.14374999999995</v>
      </c>
    </row>
    <row r="27" spans="1:7" x14ac:dyDescent="0.25">
      <c r="A27" s="197"/>
      <c r="B27" s="199"/>
      <c r="C27" s="117" t="s">
        <v>7</v>
      </c>
      <c r="D27" s="195">
        <f>(1.5%*D9)</f>
        <v>8700</v>
      </c>
      <c r="E27" s="195"/>
      <c r="F27" s="136">
        <v>12</v>
      </c>
      <c r="G27" s="134">
        <f t="shared" si="2"/>
        <v>725</v>
      </c>
    </row>
    <row r="28" spans="1:7" x14ac:dyDescent="0.25">
      <c r="A28" s="197"/>
      <c r="B28" s="199"/>
      <c r="C28" s="117" t="s">
        <v>8</v>
      </c>
      <c r="D28" s="195">
        <f>(1.5%*D10)</f>
        <v>8925</v>
      </c>
      <c r="E28" s="195"/>
      <c r="F28" s="136">
        <v>12</v>
      </c>
      <c r="G28" s="134">
        <f t="shared" si="2"/>
        <v>743.75</v>
      </c>
    </row>
    <row r="29" spans="1:7" x14ac:dyDescent="0.25">
      <c r="A29" s="197"/>
      <c r="B29" s="196" t="s">
        <v>84</v>
      </c>
      <c r="C29" s="196"/>
      <c r="D29" s="195">
        <v>144.86000000000001</v>
      </c>
      <c r="E29" s="195"/>
      <c r="F29" s="136">
        <v>12</v>
      </c>
      <c r="G29" s="134">
        <f t="shared" si="2"/>
        <v>12.071666666666667</v>
      </c>
    </row>
    <row r="30" spans="1:7" x14ac:dyDescent="0.25">
      <c r="A30" s="197"/>
      <c r="B30" s="196" t="s">
        <v>13</v>
      </c>
      <c r="C30" s="196"/>
      <c r="D30" s="195">
        <v>90</v>
      </c>
      <c r="E30" s="195"/>
      <c r="F30" s="136">
        <v>12</v>
      </c>
      <c r="G30" s="134">
        <f t="shared" si="2"/>
        <v>7.5</v>
      </c>
    </row>
    <row r="31" spans="1:7" x14ac:dyDescent="0.25">
      <c r="A31" s="197"/>
      <c r="B31" s="196" t="s">
        <v>14</v>
      </c>
      <c r="C31" s="196"/>
      <c r="D31" s="195">
        <f>170362.23/69</f>
        <v>2469.0178260869566</v>
      </c>
      <c r="E31" s="195"/>
      <c r="F31" s="136">
        <v>12</v>
      </c>
      <c r="G31" s="134">
        <f t="shared" si="2"/>
        <v>205.75148550724637</v>
      </c>
    </row>
    <row r="32" spans="1:7" x14ac:dyDescent="0.25">
      <c r="A32" s="82"/>
      <c r="B32" s="83"/>
      <c r="C32" s="83"/>
      <c r="D32" s="83"/>
      <c r="E32" s="83"/>
      <c r="F32" s="83"/>
      <c r="G32" s="83"/>
    </row>
    <row r="33" spans="1:7" x14ac:dyDescent="0.25">
      <c r="A33" s="194" t="s">
        <v>15</v>
      </c>
      <c r="B33" s="194" t="s">
        <v>24</v>
      </c>
      <c r="C33" s="198" t="s">
        <v>16</v>
      </c>
      <c r="D33" s="198"/>
      <c r="E33" s="198"/>
      <c r="F33" s="198"/>
      <c r="G33" s="138">
        <v>5.96</v>
      </c>
    </row>
    <row r="34" spans="1:7" x14ac:dyDescent="0.25">
      <c r="A34" s="194"/>
      <c r="B34" s="194"/>
      <c r="C34" s="146" t="s">
        <v>3</v>
      </c>
      <c r="D34" s="147"/>
      <c r="E34" s="148"/>
      <c r="F34" s="142">
        <v>10</v>
      </c>
      <c r="G34" s="134">
        <f>G$33/F34</f>
        <v>0.59599999999999997</v>
      </c>
    </row>
    <row r="35" spans="1:7" x14ac:dyDescent="0.25">
      <c r="A35" s="194"/>
      <c r="B35" s="194"/>
      <c r="C35" s="146" t="s">
        <v>4</v>
      </c>
      <c r="D35" s="147"/>
      <c r="E35" s="148"/>
      <c r="F35" s="142">
        <v>8</v>
      </c>
      <c r="G35" s="134">
        <f t="shared" ref="G35:G39" si="3">G$33/F35</f>
        <v>0.745</v>
      </c>
    </row>
    <row r="36" spans="1:7" x14ac:dyDescent="0.25">
      <c r="A36" s="194"/>
      <c r="B36" s="194"/>
      <c r="C36" s="146" t="s">
        <v>5</v>
      </c>
      <c r="D36" s="147"/>
      <c r="E36" s="148"/>
      <c r="F36" s="142">
        <v>5</v>
      </c>
      <c r="G36" s="134">
        <f t="shared" si="3"/>
        <v>1.1919999999999999</v>
      </c>
    </row>
    <row r="37" spans="1:7" x14ac:dyDescent="0.25">
      <c r="A37" s="194"/>
      <c r="B37" s="194"/>
      <c r="C37" s="146" t="s">
        <v>6</v>
      </c>
      <c r="D37" s="147"/>
      <c r="E37" s="148"/>
      <c r="F37" s="142">
        <v>4.2</v>
      </c>
      <c r="G37" s="134">
        <f t="shared" si="3"/>
        <v>1.4190476190476189</v>
      </c>
    </row>
    <row r="38" spans="1:7" x14ac:dyDescent="0.25">
      <c r="A38" s="194"/>
      <c r="B38" s="194"/>
      <c r="C38" s="146" t="s">
        <v>7</v>
      </c>
      <c r="D38" s="147"/>
      <c r="E38" s="148"/>
      <c r="F38" s="142">
        <v>3.5</v>
      </c>
      <c r="G38" s="134">
        <f t="shared" si="3"/>
        <v>1.7028571428571428</v>
      </c>
    </row>
    <row r="39" spans="1:7" x14ac:dyDescent="0.25">
      <c r="A39" s="194"/>
      <c r="B39" s="194"/>
      <c r="C39" s="146" t="s">
        <v>8</v>
      </c>
      <c r="D39" s="147"/>
      <c r="E39" s="148"/>
      <c r="F39" s="142">
        <v>3</v>
      </c>
      <c r="G39" s="134">
        <f t="shared" si="3"/>
        <v>1.9866666666666666</v>
      </c>
    </row>
    <row r="40" spans="1:7" x14ac:dyDescent="0.25">
      <c r="A40" s="82"/>
      <c r="B40" s="83"/>
      <c r="C40" s="83"/>
      <c r="D40" s="83"/>
      <c r="E40" s="83"/>
      <c r="F40" s="83"/>
      <c r="G40" s="83"/>
    </row>
    <row r="41" spans="1:7" x14ac:dyDescent="0.25">
      <c r="A41" s="194" t="s">
        <v>23</v>
      </c>
      <c r="B41" s="196" t="s">
        <v>88</v>
      </c>
      <c r="C41" s="196"/>
      <c r="D41" s="196"/>
      <c r="E41" s="196"/>
      <c r="F41" s="196"/>
      <c r="G41" s="140">
        <f>RECURSOS!B8</f>
        <v>191.54094090909092</v>
      </c>
    </row>
    <row r="42" spans="1:7" x14ac:dyDescent="0.25">
      <c r="A42" s="194"/>
      <c r="B42" s="196" t="s">
        <v>89</v>
      </c>
      <c r="C42" s="196"/>
      <c r="D42" s="196"/>
      <c r="E42" s="196"/>
      <c r="F42" s="196"/>
      <c r="G42" s="140">
        <f>35+50</f>
        <v>85</v>
      </c>
    </row>
    <row r="43" spans="1:7" x14ac:dyDescent="0.25">
      <c r="A43" s="144"/>
      <c r="B43" s="145"/>
      <c r="C43" s="145"/>
      <c r="D43" s="145"/>
      <c r="E43" s="145"/>
      <c r="F43" s="145"/>
      <c r="G43" s="145"/>
    </row>
    <row r="44" spans="1:7" x14ac:dyDescent="0.25">
      <c r="A44" s="193" t="s">
        <v>90</v>
      </c>
      <c r="B44" s="188" t="s">
        <v>3</v>
      </c>
      <c r="C44" s="188"/>
      <c r="D44" s="188"/>
      <c r="E44" s="188"/>
      <c r="F44" s="143">
        <v>22</v>
      </c>
      <c r="G44" s="124">
        <f>((G5+$G$11+G23+$G$29+$G$30+G$31)/F44)+$G$41</f>
        <v>283.93994782608695</v>
      </c>
    </row>
    <row r="45" spans="1:7" x14ac:dyDescent="0.25">
      <c r="A45" s="193"/>
      <c r="B45" s="188" t="s">
        <v>4</v>
      </c>
      <c r="C45" s="188"/>
      <c r="D45" s="188"/>
      <c r="E45" s="188"/>
      <c r="F45" s="143">
        <v>22</v>
      </c>
      <c r="G45" s="124">
        <f t="shared" ref="G45:G48" si="4">((G6+$G$11+G24+$G$29+$G$30+G$31)/F45)+$G$41</f>
        <v>350.73744782608696</v>
      </c>
    </row>
    <row r="46" spans="1:7" x14ac:dyDescent="0.25">
      <c r="A46" s="193"/>
      <c r="B46" s="188" t="s">
        <v>5</v>
      </c>
      <c r="C46" s="188"/>
      <c r="D46" s="188"/>
      <c r="E46" s="188"/>
      <c r="F46" s="143">
        <v>22</v>
      </c>
      <c r="G46" s="124">
        <f t="shared" si="4"/>
        <v>403.73352737154153</v>
      </c>
    </row>
    <row r="47" spans="1:7" x14ac:dyDescent="0.25">
      <c r="A47" s="193"/>
      <c r="B47" s="188" t="s">
        <v>6</v>
      </c>
      <c r="C47" s="188"/>
      <c r="D47" s="188"/>
      <c r="E47" s="188"/>
      <c r="F47" s="143">
        <v>22</v>
      </c>
      <c r="G47" s="124">
        <f t="shared" si="4"/>
        <v>372.15989100790512</v>
      </c>
    </row>
    <row r="48" spans="1:7" x14ac:dyDescent="0.25">
      <c r="A48" s="193"/>
      <c r="B48" s="188" t="s">
        <v>7</v>
      </c>
      <c r="C48" s="188"/>
      <c r="D48" s="188"/>
      <c r="E48" s="188"/>
      <c r="F48" s="143">
        <v>22</v>
      </c>
      <c r="G48" s="124">
        <f t="shared" si="4"/>
        <v>500.96472055335971</v>
      </c>
    </row>
    <row r="49" spans="1:8" x14ac:dyDescent="0.25">
      <c r="A49" s="193"/>
      <c r="B49" s="188" t="s">
        <v>8</v>
      </c>
      <c r="C49" s="188"/>
      <c r="D49" s="188"/>
      <c r="E49" s="188"/>
      <c r="F49" s="143">
        <v>22</v>
      </c>
      <c r="G49" s="124">
        <f>((G10+$G$11+G28+$G$29+$G$30+G$31)/F49)+$G$41</f>
        <v>508.63517509881427</v>
      </c>
    </row>
    <row r="50" spans="1:8" x14ac:dyDescent="0.25">
      <c r="A50" s="84"/>
      <c r="B50" s="13"/>
      <c r="C50" s="13"/>
      <c r="D50" s="13"/>
      <c r="E50" s="13"/>
      <c r="F50" s="86"/>
      <c r="G50" s="85"/>
    </row>
    <row r="51" spans="1:8" x14ac:dyDescent="0.25">
      <c r="A51" s="193" t="s">
        <v>17</v>
      </c>
      <c r="B51" s="188" t="s">
        <v>3</v>
      </c>
      <c r="C51" s="188"/>
      <c r="D51" s="188"/>
      <c r="E51" s="188"/>
      <c r="F51" s="143" t="s">
        <v>18</v>
      </c>
      <c r="G51" s="124">
        <f>(G$13+G15+G34)</f>
        <v>0.98799999999999999</v>
      </c>
    </row>
    <row r="52" spans="1:8" x14ac:dyDescent="0.25">
      <c r="A52" s="193"/>
      <c r="B52" s="188" t="s">
        <v>4</v>
      </c>
      <c r="C52" s="188"/>
      <c r="D52" s="188"/>
      <c r="E52" s="188"/>
      <c r="F52" s="143" t="s">
        <v>18</v>
      </c>
      <c r="G52" s="124">
        <f t="shared" ref="G52:G56" si="5">(G$13+G16+G35)</f>
        <v>1.4745200000000001</v>
      </c>
    </row>
    <row r="53" spans="1:8" x14ac:dyDescent="0.25">
      <c r="A53" s="193"/>
      <c r="B53" s="188" t="s">
        <v>5</v>
      </c>
      <c r="C53" s="188"/>
      <c r="D53" s="188"/>
      <c r="E53" s="188"/>
      <c r="F53" s="143" t="s">
        <v>18</v>
      </c>
      <c r="G53" s="124">
        <f t="shared" si="5"/>
        <v>1.5851006999999999</v>
      </c>
    </row>
    <row r="54" spans="1:8" x14ac:dyDescent="0.25">
      <c r="A54" s="193"/>
      <c r="B54" s="188" t="s">
        <v>6</v>
      </c>
      <c r="C54" s="188"/>
      <c r="D54" s="188"/>
      <c r="E54" s="188"/>
      <c r="F54" s="143" t="s">
        <v>18</v>
      </c>
      <c r="G54" s="124">
        <f t="shared" si="5"/>
        <v>1.836781139047619</v>
      </c>
    </row>
    <row r="55" spans="1:8" x14ac:dyDescent="0.25">
      <c r="A55" s="193"/>
      <c r="B55" s="188" t="s">
        <v>7</v>
      </c>
      <c r="C55" s="188"/>
      <c r="D55" s="188"/>
      <c r="E55" s="188"/>
      <c r="F55" s="143" t="s">
        <v>18</v>
      </c>
      <c r="G55" s="124">
        <f t="shared" si="5"/>
        <v>2.1970971428571429</v>
      </c>
    </row>
    <row r="56" spans="1:8" x14ac:dyDescent="0.25">
      <c r="A56" s="193"/>
      <c r="B56" s="188" t="s">
        <v>8</v>
      </c>
      <c r="C56" s="188"/>
      <c r="D56" s="188"/>
      <c r="E56" s="188"/>
      <c r="F56" s="143" t="s">
        <v>18</v>
      </c>
      <c r="G56" s="124">
        <f t="shared" si="5"/>
        <v>2.5097546666666668</v>
      </c>
    </row>
    <row r="57" spans="1:8" x14ac:dyDescent="0.25">
      <c r="A57"/>
      <c r="B57"/>
      <c r="C57"/>
      <c r="D57"/>
      <c r="E57"/>
      <c r="F57" s="87"/>
      <c r="G57"/>
    </row>
    <row r="58" spans="1:8" ht="15" customHeight="1" x14ac:dyDescent="0.25">
      <c r="A58" s="193" t="s">
        <v>91</v>
      </c>
      <c r="B58" s="188" t="s">
        <v>3</v>
      </c>
      <c r="C58" s="188"/>
      <c r="D58" s="188"/>
      <c r="E58" s="188"/>
      <c r="F58" s="143">
        <v>50</v>
      </c>
      <c r="G58" s="124">
        <f t="shared" ref="G58:G63" si="6">G44+(F58*G51)</f>
        <v>333.33994782608693</v>
      </c>
    </row>
    <row r="59" spans="1:8" x14ac:dyDescent="0.25">
      <c r="A59" s="193"/>
      <c r="B59" s="188" t="s">
        <v>4</v>
      </c>
      <c r="C59" s="188"/>
      <c r="D59" s="188"/>
      <c r="E59" s="188"/>
      <c r="F59" s="143">
        <v>50</v>
      </c>
      <c r="G59" s="124">
        <f t="shared" si="6"/>
        <v>424.46344782608696</v>
      </c>
    </row>
    <row r="60" spans="1:8" x14ac:dyDescent="0.25">
      <c r="A60" s="193"/>
      <c r="B60" s="188" t="s">
        <v>5</v>
      </c>
      <c r="C60" s="188"/>
      <c r="D60" s="188"/>
      <c r="E60" s="188"/>
      <c r="F60" s="143">
        <v>50</v>
      </c>
      <c r="G60" s="124">
        <f t="shared" si="6"/>
        <v>482.98856237154155</v>
      </c>
    </row>
    <row r="61" spans="1:8" x14ac:dyDescent="0.25">
      <c r="A61" s="193"/>
      <c r="B61" s="188" t="s">
        <v>6</v>
      </c>
      <c r="C61" s="188"/>
      <c r="D61" s="188"/>
      <c r="E61" s="188"/>
      <c r="F61" s="143">
        <v>50</v>
      </c>
      <c r="G61" s="124">
        <f t="shared" si="6"/>
        <v>463.99894796028605</v>
      </c>
    </row>
    <row r="62" spans="1:8" x14ac:dyDescent="0.25">
      <c r="A62" s="193"/>
      <c r="B62" s="188" t="s">
        <v>7</v>
      </c>
      <c r="C62" s="188"/>
      <c r="D62" s="188"/>
      <c r="E62" s="188"/>
      <c r="F62" s="143">
        <v>50</v>
      </c>
      <c r="G62" s="124">
        <f t="shared" si="6"/>
        <v>610.81957769621681</v>
      </c>
    </row>
    <row r="63" spans="1:8" x14ac:dyDescent="0.25">
      <c r="A63" s="193"/>
      <c r="B63" s="188" t="s">
        <v>8</v>
      </c>
      <c r="C63" s="188"/>
      <c r="D63" s="188"/>
      <c r="E63" s="188"/>
      <c r="F63" s="143">
        <v>50</v>
      </c>
      <c r="G63" s="124">
        <f t="shared" si="6"/>
        <v>634.1229084321476</v>
      </c>
      <c r="H63" s="14"/>
    </row>
  </sheetData>
  <mergeCells count="56">
    <mergeCell ref="A2:G2"/>
    <mergeCell ref="D26:E26"/>
    <mergeCell ref="A13:A20"/>
    <mergeCell ref="E4:F4"/>
    <mergeCell ref="E5:F5"/>
    <mergeCell ref="E6:F6"/>
    <mergeCell ref="E7:F7"/>
    <mergeCell ref="E8:F8"/>
    <mergeCell ref="E9:F9"/>
    <mergeCell ref="E10:F10"/>
    <mergeCell ref="A4:A11"/>
    <mergeCell ref="B4:B10"/>
    <mergeCell ref="D22:E22"/>
    <mergeCell ref="D23:E23"/>
    <mergeCell ref="C11:F11"/>
    <mergeCell ref="B13:B20"/>
    <mergeCell ref="B61:E61"/>
    <mergeCell ref="D29:E29"/>
    <mergeCell ref="B22:B28"/>
    <mergeCell ref="B62:E62"/>
    <mergeCell ref="B42:F42"/>
    <mergeCell ref="B52:E52"/>
    <mergeCell ref="B53:E53"/>
    <mergeCell ref="B41:F41"/>
    <mergeCell ref="B33:B39"/>
    <mergeCell ref="C33:F33"/>
    <mergeCell ref="B60:E60"/>
    <mergeCell ref="C13:F13"/>
    <mergeCell ref="B63:E63"/>
    <mergeCell ref="A41:A42"/>
    <mergeCell ref="B54:E54"/>
    <mergeCell ref="B55:E55"/>
    <mergeCell ref="B56:E56"/>
    <mergeCell ref="A44:A49"/>
    <mergeCell ref="B44:E44"/>
    <mergeCell ref="B45:E45"/>
    <mergeCell ref="B46:E46"/>
    <mergeCell ref="B47:E47"/>
    <mergeCell ref="B48:E48"/>
    <mergeCell ref="B49:E49"/>
    <mergeCell ref="A58:A63"/>
    <mergeCell ref="B58:E58"/>
    <mergeCell ref="B59:E59"/>
    <mergeCell ref="A51:A56"/>
    <mergeCell ref="B51:E51"/>
    <mergeCell ref="A33:A39"/>
    <mergeCell ref="D24:E24"/>
    <mergeCell ref="D25:E25"/>
    <mergeCell ref="D27:E27"/>
    <mergeCell ref="D28:E28"/>
    <mergeCell ref="B31:C31"/>
    <mergeCell ref="D31:E31"/>
    <mergeCell ref="B30:C30"/>
    <mergeCell ref="D30:E30"/>
    <mergeCell ref="B29:C29"/>
    <mergeCell ref="A22:A31"/>
  </mergeCells>
  <pageMargins left="0.511811024" right="0.511811024" top="0.78740157499999996" bottom="0.78740157499999996" header="0.31496062000000002" footer="0.31496062000000002"/>
  <pageSetup paperSize="9" orientation="portrait" r:id="rId1"/>
  <ignoredErrors>
    <ignoredError sqref="F10 F5 F6 F7 F8 F9" unlocked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8"/>
  <sheetViews>
    <sheetView workbookViewId="0">
      <selection activeCell="B6" sqref="B6"/>
    </sheetView>
  </sheetViews>
  <sheetFormatPr defaultColWidth="9.140625" defaultRowHeight="15" x14ac:dyDescent="0.25"/>
  <cols>
    <col min="1" max="1" width="30.5703125" style="5" bestFit="1" customWidth="1"/>
    <col min="2" max="2" width="14.28515625" style="9" bestFit="1" customWidth="1"/>
    <col min="3" max="16384" width="9.140625" style="5"/>
  </cols>
  <sheetData>
    <row r="2" spans="1:2" x14ac:dyDescent="0.25">
      <c r="A2" s="190" t="s">
        <v>53</v>
      </c>
      <c r="B2" s="191"/>
    </row>
    <row r="3" spans="1:2" ht="3" customHeight="1" x14ac:dyDescent="0.25">
      <c r="A3" s="7"/>
      <c r="B3" s="6"/>
    </row>
    <row r="4" spans="1:2" x14ac:dyDescent="0.25">
      <c r="A4" s="203" t="s">
        <v>52</v>
      </c>
      <c r="B4" s="204"/>
    </row>
    <row r="5" spans="1:2" x14ac:dyDescent="0.25">
      <c r="A5" s="90" t="s">
        <v>49</v>
      </c>
      <c r="B5" s="91" t="s">
        <v>54</v>
      </c>
    </row>
    <row r="6" spans="1:2" x14ac:dyDescent="0.25">
      <c r="A6" s="69" t="s">
        <v>50</v>
      </c>
      <c r="B6" s="88">
        <f>VLOOKUP(A6,'FOLHA DE PAGAMENTO'!B:W,22,0)</f>
        <v>173.86671931818179</v>
      </c>
    </row>
    <row r="7" spans="1:2" x14ac:dyDescent="0.25">
      <c r="A7" s="68" t="s">
        <v>51</v>
      </c>
      <c r="B7" s="89">
        <f>VLOOKUP(A7,'FOLHA DE PAGAMENTO'!B:W,22,0)</f>
        <v>154.26195113636365</v>
      </c>
    </row>
    <row r="8" spans="1:2" x14ac:dyDescent="0.25">
      <c r="A8" s="69" t="s">
        <v>112</v>
      </c>
      <c r="B8" s="88">
        <f>VLOOKUP(A8,'FOLHA DE PAGAMENTO'!B:W,22,0)</f>
        <v>191.54094090909092</v>
      </c>
    </row>
  </sheetData>
  <mergeCells count="2">
    <mergeCell ref="A2:B2"/>
    <mergeCell ref="A4:B4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B1:AA27"/>
  <sheetViews>
    <sheetView showGridLines="0" topLeftCell="A5" workbookViewId="0">
      <pane xSplit="2" ySplit="2" topLeftCell="C7" activePane="bottomRight" state="frozen"/>
      <selection activeCell="A5" sqref="A5"/>
      <selection pane="topRight" activeCell="C5" sqref="C5"/>
      <selection pane="bottomLeft" activeCell="A7" sqref="A7"/>
      <selection pane="bottomRight" activeCell="G10" sqref="G10"/>
    </sheetView>
  </sheetViews>
  <sheetFormatPr defaultRowHeight="15" x14ac:dyDescent="0.25"/>
  <cols>
    <col min="2" max="2" width="27" style="39" bestFit="1" customWidth="1"/>
    <col min="3" max="5" width="15.7109375" customWidth="1"/>
    <col min="6" max="6" width="12.7109375" customWidth="1"/>
    <col min="7" max="7" width="14.140625" customWidth="1"/>
    <col min="8" max="8" width="16" customWidth="1"/>
    <col min="9" max="9" width="13.85546875" customWidth="1"/>
    <col min="10" max="10" width="12" customWidth="1"/>
    <col min="11" max="11" width="14.28515625" bestFit="1" customWidth="1"/>
    <col min="12" max="12" width="16.42578125" bestFit="1" customWidth="1"/>
    <col min="13" max="13" width="12.85546875" bestFit="1" customWidth="1"/>
    <col min="14" max="14" width="25.7109375" bestFit="1" customWidth="1"/>
    <col min="15" max="15" width="17.7109375" bestFit="1" customWidth="1"/>
    <col min="16" max="16" width="25.140625" bestFit="1" customWidth="1"/>
    <col min="17" max="17" width="22.7109375" bestFit="1" customWidth="1"/>
    <col min="18" max="18" width="20.28515625" customWidth="1"/>
    <col min="19" max="19" width="13.7109375" customWidth="1"/>
    <col min="20" max="20" width="13.28515625" bestFit="1" customWidth="1"/>
    <col min="21" max="21" width="18.140625" bestFit="1" customWidth="1"/>
    <col min="22" max="22" width="13.7109375" bestFit="1" customWidth="1"/>
    <col min="23" max="23" width="15" bestFit="1" customWidth="1"/>
    <col min="24" max="24" width="11.42578125" bestFit="1" customWidth="1"/>
    <col min="25" max="25" width="10.28515625" style="37" bestFit="1" customWidth="1"/>
    <col min="26" max="26" width="10.28515625" style="36" bestFit="1" customWidth="1"/>
    <col min="27" max="27" width="18.28515625" style="38" bestFit="1" customWidth="1"/>
    <col min="28" max="28" width="12.85546875" bestFit="1" customWidth="1"/>
    <col min="29" max="29" width="20.85546875" bestFit="1" customWidth="1"/>
    <col min="30" max="30" width="17.42578125" bestFit="1" customWidth="1"/>
    <col min="31" max="31" width="21.140625" bestFit="1" customWidth="1"/>
    <col min="32" max="32" width="17.7109375" bestFit="1" customWidth="1"/>
    <col min="33" max="33" width="18.42578125" bestFit="1" customWidth="1"/>
    <col min="34" max="34" width="14.85546875" bestFit="1" customWidth="1"/>
    <col min="35" max="35" width="22.85546875" bestFit="1" customWidth="1"/>
    <col min="36" max="36" width="19.28515625" bestFit="1" customWidth="1"/>
    <col min="37" max="37" width="23.140625" bestFit="1" customWidth="1"/>
    <col min="38" max="38" width="19.5703125" bestFit="1" customWidth="1"/>
    <col min="39" max="39" width="16.7109375" bestFit="1" customWidth="1"/>
    <col min="40" max="40" width="13.28515625" bestFit="1" customWidth="1"/>
    <col min="41" max="41" width="21.7109375" bestFit="1" customWidth="1"/>
    <col min="42" max="43" width="18.140625" bestFit="1" customWidth="1"/>
  </cols>
  <sheetData>
    <row r="1" spans="2:27" s="37" customFormat="1" hidden="1" x14ac:dyDescent="0.25">
      <c r="B1" s="40" t="s">
        <v>49</v>
      </c>
      <c r="C1" s="41" t="s">
        <v>113</v>
      </c>
      <c r="D1" s="41" t="s">
        <v>93</v>
      </c>
      <c r="E1" s="41" t="s">
        <v>94</v>
      </c>
      <c r="F1" s="41" t="s">
        <v>95</v>
      </c>
      <c r="G1" s="41" t="s">
        <v>96</v>
      </c>
      <c r="H1" s="40" t="s">
        <v>97</v>
      </c>
      <c r="I1" s="45" t="s">
        <v>98</v>
      </c>
      <c r="J1" s="45" t="s">
        <v>99</v>
      </c>
      <c r="K1" s="41" t="s">
        <v>100</v>
      </c>
      <c r="L1" s="45" t="s">
        <v>101</v>
      </c>
      <c r="M1" s="41" t="s">
        <v>102</v>
      </c>
      <c r="N1" s="41" t="s">
        <v>103</v>
      </c>
      <c r="O1" s="41" t="s">
        <v>104</v>
      </c>
      <c r="P1" s="41" t="s">
        <v>114</v>
      </c>
      <c r="Q1" s="41" t="s">
        <v>105</v>
      </c>
      <c r="R1" s="41" t="s">
        <v>106</v>
      </c>
      <c r="S1" s="41" t="s">
        <v>107</v>
      </c>
      <c r="T1" s="41" t="s">
        <v>108</v>
      </c>
      <c r="U1" s="41" t="s">
        <v>109</v>
      </c>
      <c r="V1" s="42" t="s">
        <v>110</v>
      </c>
      <c r="W1" s="42" t="s">
        <v>111</v>
      </c>
      <c r="AA1" s="36"/>
    </row>
    <row r="2" spans="2:27" hidden="1" x14ac:dyDescent="0.25">
      <c r="B2" s="40" t="s">
        <v>50</v>
      </c>
      <c r="C2" s="46">
        <v>2216.59</v>
      </c>
      <c r="D2" s="43">
        <f>C2*11/12</f>
        <v>2031.8741666666667</v>
      </c>
      <c r="E2" s="46">
        <v>13.43</v>
      </c>
      <c r="F2" s="43">
        <f>E2*22</f>
        <v>295.45999999999998</v>
      </c>
      <c r="G2" s="43">
        <f>IF(F2&gt;0,C2*0.06,0)</f>
        <v>132.99540000000002</v>
      </c>
      <c r="H2" s="46">
        <v>27.14</v>
      </c>
      <c r="I2" s="44">
        <f>H2*22</f>
        <v>597.08000000000004</v>
      </c>
      <c r="J2" s="47">
        <v>23</v>
      </c>
      <c r="K2" s="43">
        <f>D2*0.088</f>
        <v>178.80492666666666</v>
      </c>
      <c r="L2" s="44">
        <f>D2*0.08</f>
        <v>162.54993333333334</v>
      </c>
      <c r="M2" s="43">
        <f>C2/12</f>
        <v>184.71583333333334</v>
      </c>
      <c r="N2" s="43">
        <f>M2*0.058</f>
        <v>10.713518333333335</v>
      </c>
      <c r="O2" s="43">
        <f>M2*0.08</f>
        <v>14.777266666666668</v>
      </c>
      <c r="P2" s="43">
        <f>M2+(M2/3)</f>
        <v>246.28777777777779</v>
      </c>
      <c r="Q2" s="43">
        <f>P2*0.058</f>
        <v>14.284691111111112</v>
      </c>
      <c r="R2" s="43">
        <f>P2*0.08</f>
        <v>19.703022222222224</v>
      </c>
      <c r="S2" s="46">
        <v>1200</v>
      </c>
      <c r="T2" s="43">
        <f>S2/12</f>
        <v>100</v>
      </c>
      <c r="U2" s="43">
        <f>(L2+O2+R2)*0.4</f>
        <v>78.812088888888894</v>
      </c>
      <c r="V2" s="41">
        <f>D2+F2-G2+I2+J2+K2+L2+M2+N2+O2+P2+Q2+R2+T2+U2</f>
        <v>3825.0678249999996</v>
      </c>
      <c r="W2" s="41">
        <f>V2/22</f>
        <v>173.86671931818179</v>
      </c>
    </row>
    <row r="3" spans="2:27" hidden="1" x14ac:dyDescent="0.25">
      <c r="B3" s="40" t="s">
        <v>51</v>
      </c>
      <c r="C3" s="46">
        <v>1876.31</v>
      </c>
      <c r="D3" s="43">
        <f>C3*11/12</f>
        <v>1719.9508333333333</v>
      </c>
      <c r="E3" s="46">
        <v>13.43</v>
      </c>
      <c r="F3" s="43">
        <f t="shared" ref="F3:F4" si="0">E3*22</f>
        <v>295.45999999999998</v>
      </c>
      <c r="G3" s="43">
        <f>IF(F3&gt;0,C3*0.06,0)</f>
        <v>112.57859999999999</v>
      </c>
      <c r="H3" s="46">
        <v>27.14</v>
      </c>
      <c r="I3" s="44">
        <f>H3*22</f>
        <v>597.08000000000004</v>
      </c>
      <c r="J3" s="47">
        <v>23</v>
      </c>
      <c r="K3" s="43">
        <f t="shared" ref="K3:K4" si="1">D3*0.088</f>
        <v>151.35567333333333</v>
      </c>
      <c r="L3" s="44">
        <f t="shared" ref="L3:L4" si="2">D3*0.08</f>
        <v>137.59606666666667</v>
      </c>
      <c r="M3" s="43">
        <f>C3/12</f>
        <v>156.35916666666665</v>
      </c>
      <c r="N3" s="43">
        <f>M3*0.058</f>
        <v>9.0688316666666662</v>
      </c>
      <c r="O3" s="43">
        <f>M3*0.08</f>
        <v>12.508733333333332</v>
      </c>
      <c r="P3" s="43">
        <f t="shared" ref="P3:P4" si="3">M3+(M3/3)</f>
        <v>208.47888888888886</v>
      </c>
      <c r="Q3" s="43">
        <f>P3*0.058</f>
        <v>12.091775555555554</v>
      </c>
      <c r="R3" s="43">
        <f>P3*0.08</f>
        <v>16.67831111111111</v>
      </c>
      <c r="S3" s="46">
        <v>1200</v>
      </c>
      <c r="T3" s="43">
        <f>S3/12</f>
        <v>100</v>
      </c>
      <c r="U3" s="43">
        <f>(L3+O3+R3)*0.4</f>
        <v>66.713244444444442</v>
      </c>
      <c r="V3" s="41">
        <f>D3+F3-G3+I3+J3+K3+L3+M3+N3+O3+P3+Q3+R3+T3+U3</f>
        <v>3393.762925</v>
      </c>
      <c r="W3" s="41">
        <f t="shared" ref="W3:W4" si="4">V3/22</f>
        <v>154.26195113636365</v>
      </c>
    </row>
    <row r="4" spans="2:27" hidden="1" x14ac:dyDescent="0.25">
      <c r="B4" s="40" t="s">
        <v>112</v>
      </c>
      <c r="C4" s="46">
        <v>2631.88</v>
      </c>
      <c r="D4" s="43">
        <f>C4*11/12</f>
        <v>2412.5566666666668</v>
      </c>
      <c r="E4" s="46">
        <v>0</v>
      </c>
      <c r="F4" s="43">
        <f t="shared" si="0"/>
        <v>0</v>
      </c>
      <c r="G4" s="43">
        <f>IF(F4&gt;0,C4*0.06,0)</f>
        <v>0</v>
      </c>
      <c r="H4" s="46">
        <v>27.14</v>
      </c>
      <c r="I4" s="44">
        <f>H4*22</f>
        <v>597.08000000000004</v>
      </c>
      <c r="J4" s="47">
        <v>23</v>
      </c>
      <c r="K4" s="43">
        <f t="shared" si="1"/>
        <v>212.30498666666668</v>
      </c>
      <c r="L4" s="44">
        <f t="shared" si="2"/>
        <v>193.00453333333334</v>
      </c>
      <c r="M4" s="43">
        <f>C4/12</f>
        <v>219.32333333333335</v>
      </c>
      <c r="N4" s="43">
        <f>M4*0.058</f>
        <v>12.720753333333334</v>
      </c>
      <c r="O4" s="43">
        <f>M4*0.08</f>
        <v>17.545866666666669</v>
      </c>
      <c r="P4" s="43">
        <f t="shared" si="3"/>
        <v>292.43111111111114</v>
      </c>
      <c r="Q4" s="43">
        <f>P4*0.058</f>
        <v>16.961004444444448</v>
      </c>
      <c r="R4" s="43">
        <f>P4*0.08</f>
        <v>23.39448888888889</v>
      </c>
      <c r="S4" s="46">
        <v>1200</v>
      </c>
      <c r="T4" s="43">
        <f>S4/12</f>
        <v>100</v>
      </c>
      <c r="U4" s="43">
        <f>(L4+O4+R4)*0.4</f>
        <v>93.577955555555576</v>
      </c>
      <c r="V4" s="41">
        <f>D4+F4-G4+I4+J4+K4+L4+M4+N4+O4+P4+Q4+R4+T4+U4</f>
        <v>4213.9007000000001</v>
      </c>
      <c r="W4" s="41">
        <f t="shared" si="4"/>
        <v>191.54094090909092</v>
      </c>
    </row>
    <row r="5" spans="2:27" ht="9.75" customHeight="1" x14ac:dyDescent="0.25"/>
    <row r="6" spans="2:27" ht="19.5" customHeight="1" x14ac:dyDescent="0.25">
      <c r="B6" s="75" t="s">
        <v>133</v>
      </c>
      <c r="C6" s="75" t="s">
        <v>56</v>
      </c>
      <c r="D6" s="71" t="s">
        <v>57</v>
      </c>
      <c r="E6" s="71" t="s">
        <v>23</v>
      </c>
    </row>
    <row r="7" spans="2:27" x14ac:dyDescent="0.25">
      <c r="B7" s="68" t="s">
        <v>113</v>
      </c>
      <c r="C7" s="70">
        <v>2371.7513000000004</v>
      </c>
      <c r="D7" s="70">
        <v>2007.6516999999999</v>
      </c>
      <c r="E7" s="70">
        <v>2816.12</v>
      </c>
    </row>
    <row r="8" spans="2:27" x14ac:dyDescent="0.25">
      <c r="B8" s="69" t="s">
        <v>93</v>
      </c>
      <c r="C8" s="76">
        <f>C7*11/12</f>
        <v>2174.1053583333337</v>
      </c>
      <c r="D8" s="76">
        <f>D7*11/12</f>
        <v>1840.3473916666665</v>
      </c>
      <c r="E8" s="76">
        <f>E7*11/12</f>
        <v>2581.4433333333332</v>
      </c>
    </row>
    <row r="9" spans="2:27" x14ac:dyDescent="0.25">
      <c r="B9" s="68" t="s">
        <v>94</v>
      </c>
      <c r="C9" s="70">
        <v>13.43</v>
      </c>
      <c r="D9" s="70">
        <v>13.43</v>
      </c>
      <c r="E9" s="70">
        <v>0</v>
      </c>
      <c r="G9" s="179"/>
      <c r="H9" s="179"/>
    </row>
    <row r="10" spans="2:27" x14ac:dyDescent="0.25">
      <c r="B10" s="69" t="s">
        <v>95</v>
      </c>
      <c r="C10" s="76">
        <f>C9*22</f>
        <v>295.45999999999998</v>
      </c>
      <c r="D10" s="76">
        <f>D9*22</f>
        <v>295.45999999999998</v>
      </c>
      <c r="E10" s="76">
        <f>E9*22</f>
        <v>0</v>
      </c>
      <c r="G10" s="179"/>
      <c r="H10" s="179"/>
    </row>
    <row r="11" spans="2:27" x14ac:dyDescent="0.25">
      <c r="B11" s="68" t="s">
        <v>96</v>
      </c>
      <c r="C11" s="70">
        <f>IF(C10&gt;0,C7*0.06,0)</f>
        <v>142.30507800000001</v>
      </c>
      <c r="D11" s="70">
        <f>IF(D10&gt;0,D7*0.06,0)</f>
        <v>120.45910199999999</v>
      </c>
      <c r="E11" s="70">
        <f>IF(E10&gt;0,E7*0.06,0)</f>
        <v>0</v>
      </c>
    </row>
    <row r="12" spans="2:27" x14ac:dyDescent="0.25">
      <c r="B12" s="69" t="s">
        <v>97</v>
      </c>
      <c r="C12" s="76">
        <v>35</v>
      </c>
      <c r="D12" s="76">
        <v>35</v>
      </c>
      <c r="E12" s="76">
        <v>35</v>
      </c>
    </row>
    <row r="13" spans="2:27" x14ac:dyDescent="0.25">
      <c r="B13" s="68" t="s">
        <v>98</v>
      </c>
      <c r="C13" s="70">
        <f>C12*22</f>
        <v>770</v>
      </c>
      <c r="D13" s="70">
        <f>D12*22</f>
        <v>770</v>
      </c>
      <c r="E13" s="70">
        <f>E12*22</f>
        <v>770</v>
      </c>
    </row>
    <row r="14" spans="2:27" x14ac:dyDescent="0.25">
      <c r="B14" s="69" t="s">
        <v>99</v>
      </c>
      <c r="C14" s="76">
        <v>23</v>
      </c>
      <c r="D14" s="76">
        <v>23</v>
      </c>
      <c r="E14" s="76">
        <v>23</v>
      </c>
    </row>
    <row r="15" spans="2:27" x14ac:dyDescent="0.25">
      <c r="B15" s="68" t="s">
        <v>100</v>
      </c>
      <c r="C15" s="70">
        <f>C8*0.088</f>
        <v>191.32127153333334</v>
      </c>
      <c r="D15" s="70">
        <f>D8*0.088</f>
        <v>161.95057046666665</v>
      </c>
      <c r="E15" s="70">
        <f>E8*0.088</f>
        <v>227.1670133333333</v>
      </c>
    </row>
    <row r="16" spans="2:27" x14ac:dyDescent="0.25">
      <c r="B16" s="69" t="s">
        <v>101</v>
      </c>
      <c r="C16" s="76">
        <f>C8*0.08</f>
        <v>173.92842866666669</v>
      </c>
      <c r="D16" s="76">
        <f>D8*0.08</f>
        <v>147.22779133333333</v>
      </c>
      <c r="E16" s="76">
        <f>E8*0.08</f>
        <v>206.51546666666667</v>
      </c>
    </row>
    <row r="17" spans="2:5" x14ac:dyDescent="0.25">
      <c r="B17" s="68" t="s">
        <v>102</v>
      </c>
      <c r="C17" s="70">
        <f>C7/12</f>
        <v>197.64594166666669</v>
      </c>
      <c r="D17" s="70">
        <f>D7/12</f>
        <v>167.30430833333332</v>
      </c>
      <c r="E17" s="70">
        <f>E7/12</f>
        <v>234.67666666666665</v>
      </c>
    </row>
    <row r="18" spans="2:5" x14ac:dyDescent="0.25">
      <c r="B18" s="69" t="s">
        <v>103</v>
      </c>
      <c r="C18" s="76">
        <f>C17*0.058</f>
        <v>11.463464616666668</v>
      </c>
      <c r="D18" s="76">
        <f>D17*0.058</f>
        <v>9.703649883333334</v>
      </c>
      <c r="E18" s="76">
        <f>E17*0.058</f>
        <v>13.611246666666666</v>
      </c>
    </row>
    <row r="19" spans="2:5" x14ac:dyDescent="0.25">
      <c r="B19" s="68" t="s">
        <v>104</v>
      </c>
      <c r="C19" s="70">
        <f>C17*0.08</f>
        <v>15.811675333333335</v>
      </c>
      <c r="D19" s="70">
        <f>D17*0.08</f>
        <v>13.384344666666665</v>
      </c>
      <c r="E19" s="70">
        <f>E17*0.08</f>
        <v>18.774133333333332</v>
      </c>
    </row>
    <row r="20" spans="2:5" x14ac:dyDescent="0.25">
      <c r="B20" s="69" t="s">
        <v>114</v>
      </c>
      <c r="C20" s="76">
        <f>C17+(C17/3)</f>
        <v>263.52792222222223</v>
      </c>
      <c r="D20" s="76">
        <f>D17+(D17/3)</f>
        <v>223.07241111111111</v>
      </c>
      <c r="E20" s="76">
        <f>E17+(E17/3)</f>
        <v>312.90222222222218</v>
      </c>
    </row>
    <row r="21" spans="2:5" x14ac:dyDescent="0.25">
      <c r="B21" s="68" t="s">
        <v>105</v>
      </c>
      <c r="C21" s="70">
        <f>C20*0.058</f>
        <v>15.28461948888889</v>
      </c>
      <c r="D21" s="70">
        <f>D20*0.058</f>
        <v>12.938199844444444</v>
      </c>
      <c r="E21" s="70">
        <f>E20*0.058</f>
        <v>18.148328888888887</v>
      </c>
    </row>
    <row r="22" spans="2:5" x14ac:dyDescent="0.25">
      <c r="B22" s="69" t="s">
        <v>106</v>
      </c>
      <c r="C22" s="76">
        <f>C20*0.08</f>
        <v>21.08223377777778</v>
      </c>
      <c r="D22" s="76">
        <f>D20*0.08</f>
        <v>17.845792888888891</v>
      </c>
      <c r="E22" s="76">
        <f>E20*0.08</f>
        <v>25.032177777777775</v>
      </c>
    </row>
    <row r="23" spans="2:5" x14ac:dyDescent="0.25">
      <c r="B23" s="68" t="s">
        <v>107</v>
      </c>
      <c r="C23" s="70">
        <v>1500</v>
      </c>
      <c r="D23" s="70">
        <v>1500</v>
      </c>
      <c r="E23" s="70">
        <v>1500</v>
      </c>
    </row>
    <row r="24" spans="2:5" x14ac:dyDescent="0.25">
      <c r="B24" s="69" t="s">
        <v>108</v>
      </c>
      <c r="C24" s="76">
        <f>C23/12</f>
        <v>125</v>
      </c>
      <c r="D24" s="76">
        <f>D23/12</f>
        <v>125</v>
      </c>
      <c r="E24" s="76">
        <f>E23/12</f>
        <v>125</v>
      </c>
    </row>
    <row r="25" spans="2:5" x14ac:dyDescent="0.25">
      <c r="B25" s="68" t="s">
        <v>109</v>
      </c>
      <c r="C25" s="70">
        <f>(C16+C19+C22)*0.4</f>
        <v>84.328935111111136</v>
      </c>
      <c r="D25" s="70">
        <f>(D16+D19+D22)*0.4</f>
        <v>71.383171555555563</v>
      </c>
      <c r="E25" s="70">
        <f>(E16+E19+E22)*0.4</f>
        <v>100.12871111111112</v>
      </c>
    </row>
    <row r="26" spans="2:5" x14ac:dyDescent="0.25">
      <c r="B26" s="72" t="s">
        <v>110</v>
      </c>
      <c r="C26" s="77">
        <f>C8+C10-C11+C13+C14+C15+C16+C17+C18+C19+C20+C21+C22+C24+C25</f>
        <v>4219.6547727500001</v>
      </c>
      <c r="D26" s="77">
        <f>D8+D10-D11+D13+D14+D15+D16+D17+D18+D19+D20+D21+D22+D24+D25</f>
        <v>3758.1585297499996</v>
      </c>
      <c r="E26" s="77">
        <f>E8+E10-E11+E13+E14+E15+E16+E17+E18+E19+E20+E21+E22+E24+E25</f>
        <v>4656.3993</v>
      </c>
    </row>
    <row r="27" spans="2:5" x14ac:dyDescent="0.25">
      <c r="B27" s="74" t="s">
        <v>111</v>
      </c>
      <c r="C27" s="73">
        <f>C26/22</f>
        <v>191.80248967045455</v>
      </c>
      <c r="D27" s="73">
        <f>D26/22</f>
        <v>170.82538771590907</v>
      </c>
      <c r="E27" s="73">
        <f>E26/22</f>
        <v>211.65451363636365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B2:E11"/>
  <sheetViews>
    <sheetView workbookViewId="0">
      <selection activeCell="K16" sqref="K16"/>
    </sheetView>
  </sheetViews>
  <sheetFormatPr defaultColWidth="9.140625" defaultRowHeight="15" x14ac:dyDescent="0.25"/>
  <cols>
    <col min="1" max="1" width="4.140625" style="5" customWidth="1"/>
    <col min="2" max="2" width="12" style="5" customWidth="1"/>
    <col min="3" max="3" width="7.7109375" style="5" customWidth="1"/>
    <col min="4" max="4" width="14.7109375" style="5" customWidth="1"/>
    <col min="5" max="5" width="10.5703125" style="5" bestFit="1" customWidth="1"/>
    <col min="6" max="16384" width="9.140625" style="5"/>
  </cols>
  <sheetData>
    <row r="2" spans="2:5" x14ac:dyDescent="0.25">
      <c r="B2" s="205" t="s">
        <v>115</v>
      </c>
      <c r="C2" s="205"/>
      <c r="D2" s="205"/>
    </row>
    <row r="3" spans="2:5" x14ac:dyDescent="0.25">
      <c r="B3" s="132" t="s">
        <v>130</v>
      </c>
      <c r="C3" s="132" t="s">
        <v>21</v>
      </c>
      <c r="D3" s="133" t="s">
        <v>22</v>
      </c>
    </row>
    <row r="4" spans="2:5" x14ac:dyDescent="0.25">
      <c r="B4" s="128">
        <v>15</v>
      </c>
      <c r="C4" s="130">
        <v>2</v>
      </c>
      <c r="D4" s="129">
        <f>C4*$D$11</f>
        <v>320</v>
      </c>
    </row>
    <row r="5" spans="2:5" x14ac:dyDescent="0.25">
      <c r="B5" s="128">
        <v>30</v>
      </c>
      <c r="C5" s="130">
        <v>3</v>
      </c>
      <c r="D5" s="129">
        <f t="shared" ref="D5:D9" si="0">C5*$D$11</f>
        <v>480</v>
      </c>
    </row>
    <row r="6" spans="2:5" x14ac:dyDescent="0.25">
      <c r="B6" s="128">
        <v>45</v>
      </c>
      <c r="C6" s="130">
        <v>4</v>
      </c>
      <c r="D6" s="129">
        <f t="shared" si="0"/>
        <v>640</v>
      </c>
    </row>
    <row r="7" spans="2:5" x14ac:dyDescent="0.25">
      <c r="B7" s="128">
        <v>60</v>
      </c>
      <c r="C7" s="130">
        <v>5</v>
      </c>
      <c r="D7" s="129">
        <f t="shared" si="0"/>
        <v>800</v>
      </c>
    </row>
    <row r="8" spans="2:5" x14ac:dyDescent="0.25">
      <c r="B8" s="128">
        <v>75</v>
      </c>
      <c r="C8" s="130">
        <v>6</v>
      </c>
      <c r="D8" s="129">
        <f t="shared" si="0"/>
        <v>960</v>
      </c>
    </row>
    <row r="9" spans="2:5" x14ac:dyDescent="0.25">
      <c r="B9" s="128">
        <v>90</v>
      </c>
      <c r="C9" s="130">
        <v>7</v>
      </c>
      <c r="D9" s="129">
        <f t="shared" si="0"/>
        <v>1120</v>
      </c>
    </row>
    <row r="10" spans="2:5" x14ac:dyDescent="0.25">
      <c r="D10" s="49"/>
    </row>
    <row r="11" spans="2:5" x14ac:dyDescent="0.25">
      <c r="D11" s="131">
        <v>160</v>
      </c>
      <c r="E11" s="101" t="s">
        <v>116</v>
      </c>
    </row>
  </sheetData>
  <mergeCells count="1">
    <mergeCell ref="B2:D2"/>
  </mergeCells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B2:O21"/>
  <sheetViews>
    <sheetView workbookViewId="0">
      <selection activeCell="D9" sqref="D9:D10"/>
    </sheetView>
  </sheetViews>
  <sheetFormatPr defaultColWidth="9.140625" defaultRowHeight="15" x14ac:dyDescent="0.25"/>
  <cols>
    <col min="1" max="1" width="5" style="11" customWidth="1"/>
    <col min="2" max="2" width="42" style="2" customWidth="1"/>
    <col min="3" max="3" width="18.7109375" style="11" customWidth="1"/>
    <col min="4" max="4" width="5" style="11" bestFit="1" customWidth="1"/>
    <col min="5" max="5" width="10.5703125" style="11" bestFit="1" customWidth="1"/>
    <col min="6" max="6" width="5" style="11" bestFit="1" customWidth="1"/>
    <col min="7" max="7" width="11.85546875" style="11" bestFit="1" customWidth="1"/>
    <col min="8" max="8" width="5" style="11" bestFit="1" customWidth="1"/>
    <col min="9" max="9" width="11.85546875" style="11" bestFit="1" customWidth="1"/>
    <col min="10" max="10" width="5" style="11" bestFit="1" customWidth="1"/>
    <col min="11" max="11" width="11.85546875" style="11" bestFit="1" customWidth="1"/>
    <col min="12" max="12" width="5" style="11" bestFit="1" customWidth="1"/>
    <col min="13" max="13" width="11.85546875" style="11" bestFit="1" customWidth="1"/>
    <col min="14" max="14" width="5" style="11" bestFit="1" customWidth="1"/>
    <col min="15" max="15" width="11.85546875" style="11" bestFit="1" customWidth="1"/>
    <col min="16" max="16384" width="9.140625" style="11"/>
  </cols>
  <sheetData>
    <row r="2" spans="2:15" ht="17.25" customHeight="1" x14ac:dyDescent="0.25">
      <c r="B2" s="94" t="s">
        <v>117</v>
      </c>
      <c r="C2" s="94" t="s">
        <v>19</v>
      </c>
      <c r="D2" s="207">
        <v>15</v>
      </c>
      <c r="E2" s="207"/>
      <c r="F2" s="207">
        <v>30</v>
      </c>
      <c r="G2" s="207"/>
      <c r="H2" s="207">
        <v>45</v>
      </c>
      <c r="I2" s="207"/>
      <c r="J2" s="207">
        <v>60</v>
      </c>
      <c r="K2" s="207"/>
      <c r="L2" s="207">
        <v>75</v>
      </c>
      <c r="M2" s="207"/>
      <c r="N2" s="207">
        <v>90</v>
      </c>
      <c r="O2" s="207"/>
    </row>
    <row r="3" spans="2:15" x14ac:dyDescent="0.25">
      <c r="B3" s="206" t="s">
        <v>59</v>
      </c>
      <c r="C3" s="95" t="s">
        <v>56</v>
      </c>
      <c r="D3" s="100">
        <v>0</v>
      </c>
      <c r="E3" s="97">
        <f>VLOOKUP($C3,RECURSOS!$A:$B,2,0)*D3</f>
        <v>0</v>
      </c>
      <c r="F3" s="96">
        <v>1</v>
      </c>
      <c r="G3" s="97">
        <f>VLOOKUP($C3,RECURSOS!$A:$B,2,0)*F3</f>
        <v>173.86671931818179</v>
      </c>
      <c r="H3" s="96">
        <v>1</v>
      </c>
      <c r="I3" s="97">
        <f>VLOOKUP($C3,RECURSOS!$A:$B,2,0)*H3</f>
        <v>173.86671931818179</v>
      </c>
      <c r="J3" s="96">
        <v>1</v>
      </c>
      <c r="K3" s="97">
        <f>VLOOKUP($C3,RECURSOS!$A:$B,2,0)*J3</f>
        <v>173.86671931818179</v>
      </c>
      <c r="L3" s="96">
        <v>1</v>
      </c>
      <c r="M3" s="97">
        <f>VLOOKUP($C3,RECURSOS!$A:$B,2,0)*L3</f>
        <v>173.86671931818179</v>
      </c>
      <c r="N3" s="96">
        <v>1</v>
      </c>
      <c r="O3" s="97">
        <f>VLOOKUP($C3,RECURSOS!$A:$B,2,0)*N3</f>
        <v>173.86671931818179</v>
      </c>
    </row>
    <row r="4" spans="2:15" x14ac:dyDescent="0.25">
      <c r="B4" s="206"/>
      <c r="C4" s="95" t="s">
        <v>57</v>
      </c>
      <c r="D4" s="100">
        <v>0</v>
      </c>
      <c r="E4" s="97">
        <f>VLOOKUP($C4,RECURSOS!$A:$B,2,0)*D4</f>
        <v>0</v>
      </c>
      <c r="F4" s="96">
        <v>2</v>
      </c>
      <c r="G4" s="97">
        <f>VLOOKUP($C4,RECURSOS!$A:$B,2,0)*F4</f>
        <v>308.5239022727273</v>
      </c>
      <c r="H4" s="96">
        <v>3</v>
      </c>
      <c r="I4" s="97">
        <f>VLOOKUP($C4,RECURSOS!$A:$B,2,0)*H4</f>
        <v>462.78585340909092</v>
      </c>
      <c r="J4" s="96">
        <v>3</v>
      </c>
      <c r="K4" s="97">
        <f>VLOOKUP($C4,RECURSOS!$A:$B,2,0)*J4</f>
        <v>462.78585340909092</v>
      </c>
      <c r="L4" s="96">
        <v>2</v>
      </c>
      <c r="M4" s="97">
        <f>VLOOKUP($C4,RECURSOS!$A:$B,2,0)*L4</f>
        <v>308.5239022727273</v>
      </c>
      <c r="N4" s="96">
        <v>3</v>
      </c>
      <c r="O4" s="97">
        <f>VLOOKUP($C4,RECURSOS!$A:$B,2,0)*N4</f>
        <v>462.78585340909092</v>
      </c>
    </row>
    <row r="5" spans="2:15" x14ac:dyDescent="0.25">
      <c r="B5" s="188" t="s">
        <v>60</v>
      </c>
      <c r="C5" s="98" t="s">
        <v>56</v>
      </c>
      <c r="D5" s="100">
        <v>0</v>
      </c>
      <c r="E5" s="99">
        <f>VLOOKUP($C5,RECURSOS!$A:$B,2,0)*D5</f>
        <v>0</v>
      </c>
      <c r="F5" s="96">
        <v>0</v>
      </c>
      <c r="G5" s="99">
        <f>VLOOKUP($C5,RECURSOS!$A:$B,2,0)*F5</f>
        <v>0</v>
      </c>
      <c r="H5" s="96">
        <v>0</v>
      </c>
      <c r="I5" s="99">
        <f>VLOOKUP($C5,RECURSOS!$A:$B,2,0)*H5</f>
        <v>0</v>
      </c>
      <c r="J5" s="96">
        <v>0</v>
      </c>
      <c r="K5" s="99">
        <f>VLOOKUP($C5,RECURSOS!$A:$B,2,0)*J5</f>
        <v>0</v>
      </c>
      <c r="L5" s="96">
        <v>1</v>
      </c>
      <c r="M5" s="99">
        <f>VLOOKUP($C5,RECURSOS!$A:$B,2,0)*L5</f>
        <v>173.86671931818179</v>
      </c>
      <c r="N5" s="96">
        <v>1</v>
      </c>
      <c r="O5" s="99">
        <f>VLOOKUP($C5,RECURSOS!$A:$B,2,0)*N5</f>
        <v>173.86671931818179</v>
      </c>
    </row>
    <row r="6" spans="2:15" x14ac:dyDescent="0.25">
      <c r="B6" s="188"/>
      <c r="C6" s="98" t="s">
        <v>57</v>
      </c>
      <c r="D6" s="100">
        <v>0</v>
      </c>
      <c r="E6" s="99">
        <f>VLOOKUP($C6,RECURSOS!$A:$B,2,0)*D6</f>
        <v>0</v>
      </c>
      <c r="F6" s="96">
        <v>0</v>
      </c>
      <c r="G6" s="99">
        <f>VLOOKUP($C6,RECURSOS!$A:$B,2,0)*F6</f>
        <v>0</v>
      </c>
      <c r="H6" s="96">
        <v>0</v>
      </c>
      <c r="I6" s="99">
        <f>VLOOKUP($C6,RECURSOS!$A:$B,2,0)*H6</f>
        <v>0</v>
      </c>
      <c r="J6" s="96">
        <v>0</v>
      </c>
      <c r="K6" s="99">
        <f>VLOOKUP($C6,RECURSOS!$A:$B,2,0)*J6</f>
        <v>0</v>
      </c>
      <c r="L6" s="96">
        <v>2</v>
      </c>
      <c r="M6" s="99">
        <f>VLOOKUP($C6,RECURSOS!$A:$B,2,0)*L6</f>
        <v>308.5239022727273</v>
      </c>
      <c r="N6" s="96">
        <v>3</v>
      </c>
      <c r="O6" s="99">
        <f>VLOOKUP($C6,RECURSOS!$A:$B,2,0)*N6</f>
        <v>462.78585340909092</v>
      </c>
    </row>
    <row r="7" spans="2:15" x14ac:dyDescent="0.25">
      <c r="B7" s="206" t="s">
        <v>58</v>
      </c>
      <c r="C7" s="95" t="s">
        <v>56</v>
      </c>
      <c r="D7" s="100">
        <v>0</v>
      </c>
      <c r="E7" s="97">
        <f>VLOOKUP($C7,RECURSOS!$A:$B,2,0)*D7</f>
        <v>0</v>
      </c>
      <c r="F7" s="96">
        <v>0</v>
      </c>
      <c r="G7" s="97">
        <f>VLOOKUP($C7,RECURSOS!$A:$B,2,0)*F7</f>
        <v>0</v>
      </c>
      <c r="H7" s="96">
        <v>0</v>
      </c>
      <c r="I7" s="97">
        <f>VLOOKUP($C7,RECURSOS!$A:$B,2,0)*H7</f>
        <v>0</v>
      </c>
      <c r="J7" s="96">
        <v>0</v>
      </c>
      <c r="K7" s="97">
        <f>VLOOKUP($C7,RECURSOS!$A:$B,2,0)*J7</f>
        <v>0</v>
      </c>
      <c r="L7" s="96">
        <v>0</v>
      </c>
      <c r="M7" s="97">
        <f>VLOOKUP($C7,RECURSOS!$A:$B,2,0)*L7</f>
        <v>0</v>
      </c>
      <c r="N7" s="96">
        <v>0</v>
      </c>
      <c r="O7" s="97">
        <f>VLOOKUP($C7,RECURSOS!$A:$B,2,0)*N7</f>
        <v>0</v>
      </c>
    </row>
    <row r="8" spans="2:15" x14ac:dyDescent="0.25">
      <c r="B8" s="206"/>
      <c r="C8" s="95" t="s">
        <v>57</v>
      </c>
      <c r="D8" s="100">
        <v>0</v>
      </c>
      <c r="E8" s="97">
        <f>VLOOKUP($C8,RECURSOS!$A:$B,2,0)*D8</f>
        <v>0</v>
      </c>
      <c r="F8" s="96">
        <v>0</v>
      </c>
      <c r="G8" s="97">
        <f>VLOOKUP($C8,RECURSOS!$A:$B,2,0)*F8</f>
        <v>0</v>
      </c>
      <c r="H8" s="96">
        <v>0</v>
      </c>
      <c r="I8" s="97">
        <f>VLOOKUP($C8,RECURSOS!$A:$B,2,0)*H8</f>
        <v>0</v>
      </c>
      <c r="J8" s="96">
        <v>0</v>
      </c>
      <c r="K8" s="97">
        <f>VLOOKUP($C8,RECURSOS!$A:$B,2,0)*J8</f>
        <v>0</v>
      </c>
      <c r="L8" s="96">
        <v>0</v>
      </c>
      <c r="M8" s="97">
        <f>VLOOKUP($C8,RECURSOS!$A:$B,2,0)*L8</f>
        <v>0</v>
      </c>
      <c r="N8" s="96">
        <v>0</v>
      </c>
      <c r="O8" s="97">
        <f>VLOOKUP($C8,RECURSOS!$A:$B,2,0)*N8</f>
        <v>0</v>
      </c>
    </row>
    <row r="9" spans="2:15" x14ac:dyDescent="0.25">
      <c r="B9" s="188" t="s">
        <v>67</v>
      </c>
      <c r="C9" s="98" t="s">
        <v>56</v>
      </c>
      <c r="D9" s="100">
        <v>1</v>
      </c>
      <c r="E9" s="99">
        <f>VLOOKUP($C9,RECURSOS!$A:$B,2,0)*D9</f>
        <v>173.86671931818179</v>
      </c>
      <c r="F9" s="96">
        <v>0</v>
      </c>
      <c r="G9" s="99">
        <f>VLOOKUP($C9,RECURSOS!$A:$B,2,0)*F9</f>
        <v>0</v>
      </c>
      <c r="H9" s="96">
        <v>0</v>
      </c>
      <c r="I9" s="99">
        <f>VLOOKUP($C9,RECURSOS!$A:$B,2,0)*H9</f>
        <v>0</v>
      </c>
      <c r="J9" s="96">
        <v>0</v>
      </c>
      <c r="K9" s="99">
        <f>VLOOKUP($C9,RECURSOS!$A:$B,2,0)*J9</f>
        <v>0</v>
      </c>
      <c r="L9" s="96">
        <v>0</v>
      </c>
      <c r="M9" s="99">
        <f>VLOOKUP($C9,RECURSOS!$A:$B,2,0)*L9</f>
        <v>0</v>
      </c>
      <c r="N9" s="96">
        <v>0</v>
      </c>
      <c r="O9" s="99">
        <f>VLOOKUP($C9,RECURSOS!$A:$B,2,0)*N9</f>
        <v>0</v>
      </c>
    </row>
    <row r="10" spans="2:15" x14ac:dyDescent="0.25">
      <c r="B10" s="188"/>
      <c r="C10" s="98" t="s">
        <v>57</v>
      </c>
      <c r="D10" s="100">
        <v>3</v>
      </c>
      <c r="E10" s="99">
        <f>VLOOKUP($C10,RECURSOS!$A:$B,2,0)*D10</f>
        <v>462.78585340909092</v>
      </c>
      <c r="F10" s="96">
        <v>0</v>
      </c>
      <c r="G10" s="99">
        <f>VLOOKUP($C10,RECURSOS!$A:$B,2,0)*F10</f>
        <v>0</v>
      </c>
      <c r="H10" s="96">
        <v>0</v>
      </c>
      <c r="I10" s="99">
        <f>VLOOKUP($C10,RECURSOS!$A:$B,2,0)*H10</f>
        <v>0</v>
      </c>
      <c r="J10" s="96">
        <v>0</v>
      </c>
      <c r="K10" s="99">
        <f>VLOOKUP($C10,RECURSOS!$A:$B,2,0)*J10</f>
        <v>0</v>
      </c>
      <c r="L10" s="96">
        <v>0</v>
      </c>
      <c r="M10" s="99">
        <f>VLOOKUP($C10,RECURSOS!$A:$B,2,0)*L10</f>
        <v>0</v>
      </c>
      <c r="N10" s="96">
        <v>0</v>
      </c>
      <c r="O10" s="99">
        <f>VLOOKUP($C10,RECURSOS!$A:$B,2,0)*N10</f>
        <v>0</v>
      </c>
    </row>
    <row r="11" spans="2:15" x14ac:dyDescent="0.25">
      <c r="B11" s="206" t="s">
        <v>61</v>
      </c>
      <c r="C11" s="95" t="s">
        <v>56</v>
      </c>
      <c r="D11" s="100">
        <v>0</v>
      </c>
      <c r="E11" s="97">
        <f>VLOOKUP($C11,RECURSOS!$A:$B,2,0)*D11</f>
        <v>0</v>
      </c>
      <c r="F11" s="96">
        <v>0</v>
      </c>
      <c r="G11" s="97">
        <f>VLOOKUP($C11,RECURSOS!$A:$B,2,0)*F11</f>
        <v>0</v>
      </c>
      <c r="H11" s="96">
        <v>0</v>
      </c>
      <c r="I11" s="97">
        <f>VLOOKUP($C11,RECURSOS!$A:$B,2,0)*H11</f>
        <v>0</v>
      </c>
      <c r="J11" s="96">
        <v>0</v>
      </c>
      <c r="K11" s="97">
        <f>VLOOKUP($C11,RECURSOS!$A:$B,2,0)*J11</f>
        <v>0</v>
      </c>
      <c r="L11" s="96">
        <v>0</v>
      </c>
      <c r="M11" s="97">
        <f>VLOOKUP($C11,RECURSOS!$A:$B,2,0)*L11</f>
        <v>0</v>
      </c>
      <c r="N11" s="96">
        <v>0</v>
      </c>
      <c r="O11" s="97">
        <f>VLOOKUP($C11,RECURSOS!$A:$B,2,0)*N11</f>
        <v>0</v>
      </c>
    </row>
    <row r="12" spans="2:15" x14ac:dyDescent="0.25">
      <c r="B12" s="206"/>
      <c r="C12" s="95" t="s">
        <v>57</v>
      </c>
      <c r="D12" s="100">
        <v>0</v>
      </c>
      <c r="E12" s="97">
        <f>VLOOKUP($C12,RECURSOS!$A:$B,2,0)*D12</f>
        <v>0</v>
      </c>
      <c r="F12" s="96">
        <v>0</v>
      </c>
      <c r="G12" s="97">
        <f>VLOOKUP($C12,RECURSOS!$A:$B,2,0)*F12</f>
        <v>0</v>
      </c>
      <c r="H12" s="96">
        <v>0</v>
      </c>
      <c r="I12" s="97">
        <f>VLOOKUP($C12,RECURSOS!$A:$B,2,0)*H12</f>
        <v>0</v>
      </c>
      <c r="J12" s="96">
        <v>0</v>
      </c>
      <c r="K12" s="97">
        <f>VLOOKUP($C12,RECURSOS!$A:$B,2,0)*J12</f>
        <v>0</v>
      </c>
      <c r="L12" s="96">
        <v>0</v>
      </c>
      <c r="M12" s="97">
        <f>VLOOKUP($C12,RECURSOS!$A:$B,2,0)*L12</f>
        <v>0</v>
      </c>
      <c r="N12" s="96">
        <v>0</v>
      </c>
      <c r="O12" s="97">
        <f>VLOOKUP($C12,RECURSOS!$A:$B,2,0)*N12</f>
        <v>0</v>
      </c>
    </row>
    <row r="13" spans="2:15" x14ac:dyDescent="0.25">
      <c r="B13" s="188" t="s">
        <v>62</v>
      </c>
      <c r="C13" s="98" t="s">
        <v>56</v>
      </c>
      <c r="D13" s="100">
        <v>0</v>
      </c>
      <c r="E13" s="99">
        <f>VLOOKUP($C13,RECURSOS!$A:$B,2,0)*D13</f>
        <v>0</v>
      </c>
      <c r="F13" s="96">
        <v>0</v>
      </c>
      <c r="G13" s="99">
        <f>VLOOKUP($C13,RECURSOS!$A:$B,2,0)*F13</f>
        <v>0</v>
      </c>
      <c r="H13" s="96">
        <v>0</v>
      </c>
      <c r="I13" s="99">
        <f>VLOOKUP($C13,RECURSOS!$A:$B,2,0)*H13</f>
        <v>0</v>
      </c>
      <c r="J13" s="96">
        <v>0</v>
      </c>
      <c r="K13" s="99">
        <f>VLOOKUP($C13,RECURSOS!$A:$B,2,0)*J13</f>
        <v>0</v>
      </c>
      <c r="L13" s="96">
        <v>0</v>
      </c>
      <c r="M13" s="99">
        <f>VLOOKUP($C13,RECURSOS!$A:$B,2,0)*L13</f>
        <v>0</v>
      </c>
      <c r="N13" s="96">
        <v>0</v>
      </c>
      <c r="O13" s="99">
        <f>VLOOKUP($C13,RECURSOS!$A:$B,2,0)*N13</f>
        <v>0</v>
      </c>
    </row>
    <row r="14" spans="2:15" x14ac:dyDescent="0.25">
      <c r="B14" s="188"/>
      <c r="C14" s="98" t="s">
        <v>57</v>
      </c>
      <c r="D14" s="100">
        <v>0</v>
      </c>
      <c r="E14" s="99">
        <f>VLOOKUP($C14,RECURSOS!$A:$B,2,0)*D14</f>
        <v>0</v>
      </c>
      <c r="F14" s="96">
        <v>0</v>
      </c>
      <c r="G14" s="99">
        <f>VLOOKUP($C14,RECURSOS!$A:$B,2,0)*F14</f>
        <v>0</v>
      </c>
      <c r="H14" s="96">
        <v>0</v>
      </c>
      <c r="I14" s="99">
        <f>VLOOKUP($C14,RECURSOS!$A:$B,2,0)*H14</f>
        <v>0</v>
      </c>
      <c r="J14" s="96">
        <v>0</v>
      </c>
      <c r="K14" s="99">
        <f>VLOOKUP($C14,RECURSOS!$A:$B,2,0)*J14</f>
        <v>0</v>
      </c>
      <c r="L14" s="96">
        <v>0</v>
      </c>
      <c r="M14" s="99">
        <f>VLOOKUP($C14,RECURSOS!$A:$B,2,0)*L14</f>
        <v>0</v>
      </c>
      <c r="N14" s="96">
        <v>0</v>
      </c>
      <c r="O14" s="99">
        <f>VLOOKUP($C14,RECURSOS!$A:$B,2,0)*N14</f>
        <v>0</v>
      </c>
    </row>
    <row r="15" spans="2:15" x14ac:dyDescent="0.25">
      <c r="B15" s="206" t="s">
        <v>64</v>
      </c>
      <c r="C15" s="95" t="s">
        <v>56</v>
      </c>
      <c r="D15" s="100">
        <v>0</v>
      </c>
      <c r="E15" s="97">
        <f>VLOOKUP($C15,RECURSOS!$A:$B,2,0)*D15</f>
        <v>0</v>
      </c>
      <c r="F15" s="96">
        <v>1</v>
      </c>
      <c r="G15" s="97">
        <f>VLOOKUP($C15,RECURSOS!$A:$B,2,0)*F15</f>
        <v>173.86671931818179</v>
      </c>
      <c r="H15" s="96">
        <v>1</v>
      </c>
      <c r="I15" s="97">
        <f>VLOOKUP($C15,RECURSOS!$A:$B,2,0)*H15</f>
        <v>173.86671931818179</v>
      </c>
      <c r="J15" s="96">
        <v>1</v>
      </c>
      <c r="K15" s="97">
        <f>VLOOKUP($C15,RECURSOS!$A:$B,2,0)*J15</f>
        <v>173.86671931818179</v>
      </c>
      <c r="L15" s="96">
        <v>1</v>
      </c>
      <c r="M15" s="97">
        <f>VLOOKUP($C15,RECURSOS!$A:$B,2,0)*L15</f>
        <v>173.86671931818179</v>
      </c>
      <c r="N15" s="96">
        <v>1</v>
      </c>
      <c r="O15" s="97">
        <f>VLOOKUP($C15,RECURSOS!$A:$B,2,0)*N15</f>
        <v>173.86671931818179</v>
      </c>
    </row>
    <row r="16" spans="2:15" x14ac:dyDescent="0.25">
      <c r="B16" s="206"/>
      <c r="C16" s="95" t="s">
        <v>57</v>
      </c>
      <c r="D16" s="100">
        <v>0</v>
      </c>
      <c r="E16" s="97">
        <f>VLOOKUP($C16,RECURSOS!$A:$B,2,0)*D16</f>
        <v>0</v>
      </c>
      <c r="F16" s="96">
        <v>5</v>
      </c>
      <c r="G16" s="97">
        <f>VLOOKUP($C16,RECURSOS!$A:$B,2,0)*F16</f>
        <v>771.30975568181827</v>
      </c>
      <c r="H16" s="96">
        <v>5</v>
      </c>
      <c r="I16" s="97">
        <f>VLOOKUP($C16,RECURSOS!$A:$B,2,0)*H16</f>
        <v>771.30975568181827</v>
      </c>
      <c r="J16" s="96">
        <v>5</v>
      </c>
      <c r="K16" s="97">
        <f>VLOOKUP($C16,RECURSOS!$A:$B,2,0)*J16</f>
        <v>771.30975568181827</v>
      </c>
      <c r="L16" s="96">
        <v>5</v>
      </c>
      <c r="M16" s="97">
        <f>VLOOKUP($C16,RECURSOS!$A:$B,2,0)*L16</f>
        <v>771.30975568181827</v>
      </c>
      <c r="N16" s="96">
        <v>5</v>
      </c>
      <c r="O16" s="97">
        <f>VLOOKUP($C16,RECURSOS!$A:$B,2,0)*N16</f>
        <v>771.30975568181827</v>
      </c>
    </row>
    <row r="17" spans="2:15" x14ac:dyDescent="0.25">
      <c r="B17" s="188" t="s">
        <v>65</v>
      </c>
      <c r="C17" s="98" t="s">
        <v>56</v>
      </c>
      <c r="D17" s="100">
        <v>0</v>
      </c>
      <c r="E17" s="99">
        <f>VLOOKUP($C17,RECURSOS!$A:$B,2,0)*D17</f>
        <v>0</v>
      </c>
      <c r="F17" s="96">
        <v>0</v>
      </c>
      <c r="G17" s="99">
        <f>VLOOKUP($C17,RECURSOS!$A:$B,2,0)*F17</f>
        <v>0</v>
      </c>
      <c r="H17" s="96">
        <v>0</v>
      </c>
      <c r="I17" s="99">
        <f>VLOOKUP($C17,RECURSOS!$A:$B,2,0)*H17</f>
        <v>0</v>
      </c>
      <c r="J17" s="96">
        <v>1</v>
      </c>
      <c r="K17" s="99">
        <f>VLOOKUP($C17,RECURSOS!$A:$B,2,0)*J17</f>
        <v>173.86671931818179</v>
      </c>
      <c r="L17" s="96">
        <v>1</v>
      </c>
      <c r="M17" s="99">
        <f>VLOOKUP($C17,RECURSOS!$A:$B,2,0)*L17</f>
        <v>173.86671931818179</v>
      </c>
      <c r="N17" s="96">
        <v>1</v>
      </c>
      <c r="O17" s="99">
        <f>VLOOKUP($C17,RECURSOS!$A:$B,2,0)*N17</f>
        <v>173.86671931818179</v>
      </c>
    </row>
    <row r="18" spans="2:15" x14ac:dyDescent="0.25">
      <c r="B18" s="188"/>
      <c r="C18" s="98" t="s">
        <v>57</v>
      </c>
      <c r="D18" s="100">
        <v>0</v>
      </c>
      <c r="E18" s="99">
        <f>VLOOKUP($C18,RECURSOS!$A:$B,2,0)*D18</f>
        <v>0</v>
      </c>
      <c r="F18" s="96">
        <v>0</v>
      </c>
      <c r="G18" s="99">
        <f>VLOOKUP($C18,RECURSOS!$A:$B,2,0)*F18</f>
        <v>0</v>
      </c>
      <c r="H18" s="96">
        <v>0</v>
      </c>
      <c r="I18" s="99">
        <f>VLOOKUP($C18,RECURSOS!$A:$B,2,0)*H18</f>
        <v>0</v>
      </c>
      <c r="J18" s="96">
        <v>5</v>
      </c>
      <c r="K18" s="99">
        <f>VLOOKUP($C18,RECURSOS!$A:$B,2,0)*J18</f>
        <v>771.30975568181827</v>
      </c>
      <c r="L18" s="96">
        <v>5</v>
      </c>
      <c r="M18" s="99">
        <f>VLOOKUP($C18,RECURSOS!$A:$B,2,0)*L18</f>
        <v>771.30975568181827</v>
      </c>
      <c r="N18" s="96">
        <v>5</v>
      </c>
      <c r="O18" s="99">
        <f>VLOOKUP($C18,RECURSOS!$A:$B,2,0)*N18</f>
        <v>771.30975568181827</v>
      </c>
    </row>
    <row r="19" spans="2:15" x14ac:dyDescent="0.25">
      <c r="B19" s="206" t="s">
        <v>66</v>
      </c>
      <c r="C19" s="95" t="s">
        <v>56</v>
      </c>
      <c r="D19" s="100">
        <v>0</v>
      </c>
      <c r="E19" s="97">
        <f>VLOOKUP($C19,RECURSOS!$A:$B,2,0)*D19</f>
        <v>0</v>
      </c>
      <c r="F19" s="96">
        <v>0</v>
      </c>
      <c r="G19" s="97">
        <f>VLOOKUP($C19,RECURSOS!$A:$B,2,0)*F19</f>
        <v>0</v>
      </c>
      <c r="H19" s="96">
        <v>0</v>
      </c>
      <c r="I19" s="97">
        <f>VLOOKUP($C19,RECURSOS!$A:$B,2,0)*H19</f>
        <v>0</v>
      </c>
      <c r="J19" s="96">
        <v>0</v>
      </c>
      <c r="K19" s="97">
        <f>VLOOKUP($C19,RECURSOS!$A:$B,2,0)*J19</f>
        <v>0</v>
      </c>
      <c r="L19" s="96">
        <v>0</v>
      </c>
      <c r="M19" s="97">
        <f>VLOOKUP($C19,RECURSOS!$A:$B,2,0)*L19</f>
        <v>0</v>
      </c>
      <c r="N19" s="96">
        <v>1</v>
      </c>
      <c r="O19" s="97">
        <f>VLOOKUP($C19,RECURSOS!$A:$B,2,0)*N19</f>
        <v>173.86671931818179</v>
      </c>
    </row>
    <row r="20" spans="2:15" x14ac:dyDescent="0.25">
      <c r="B20" s="206"/>
      <c r="C20" s="95" t="s">
        <v>57</v>
      </c>
      <c r="D20" s="100">
        <v>0</v>
      </c>
      <c r="E20" s="97">
        <f>VLOOKUP($C20,RECURSOS!$A:$B,2,0)*D20</f>
        <v>0</v>
      </c>
      <c r="F20" s="96">
        <v>0</v>
      </c>
      <c r="G20" s="97">
        <f>VLOOKUP($C20,RECURSOS!$A:$B,2,0)*F20</f>
        <v>0</v>
      </c>
      <c r="H20" s="96">
        <v>0</v>
      </c>
      <c r="I20" s="97">
        <f>VLOOKUP($C20,RECURSOS!$A:$B,2,0)*H20</f>
        <v>0</v>
      </c>
      <c r="J20" s="96">
        <v>0</v>
      </c>
      <c r="K20" s="97">
        <f>VLOOKUP($C20,RECURSOS!$A:$B,2,0)*J20</f>
        <v>0</v>
      </c>
      <c r="L20" s="96">
        <v>0</v>
      </c>
      <c r="M20" s="97">
        <f>VLOOKUP($C20,RECURSOS!$A:$B,2,0)*L20</f>
        <v>0</v>
      </c>
      <c r="N20" s="96">
        <v>5</v>
      </c>
      <c r="O20" s="97">
        <f>VLOOKUP($C20,RECURSOS!$A:$B,2,0)*N20</f>
        <v>771.30975568181827</v>
      </c>
    </row>
    <row r="21" spans="2:15" x14ac:dyDescent="0.25">
      <c r="B21" s="112"/>
      <c r="C21" s="106"/>
      <c r="D21" s="106"/>
      <c r="E21" s="113">
        <f>SUM(E3:E20)</f>
        <v>636.65257272727274</v>
      </c>
      <c r="F21" s="114"/>
      <c r="G21" s="113">
        <f>SUM(G3:G20)</f>
        <v>1427.5670965909092</v>
      </c>
      <c r="H21" s="114"/>
      <c r="I21" s="113">
        <f>SUM(I3:I20)</f>
        <v>1581.8290477272728</v>
      </c>
      <c r="J21" s="114"/>
      <c r="K21" s="113">
        <f>SUM(K3:K20)</f>
        <v>2527.0055227272728</v>
      </c>
      <c r="L21" s="114"/>
      <c r="M21" s="113">
        <f>SUM(M3:M20)</f>
        <v>2855.1341931818183</v>
      </c>
      <c r="N21" s="114"/>
      <c r="O21" s="113">
        <f>SUM(O3:O20)</f>
        <v>4108.8345704545454</v>
      </c>
    </row>
  </sheetData>
  <mergeCells count="15">
    <mergeCell ref="N2:O2"/>
    <mergeCell ref="D2:E2"/>
    <mergeCell ref="F2:G2"/>
    <mergeCell ref="H2:I2"/>
    <mergeCell ref="J2:K2"/>
    <mergeCell ref="L2:M2"/>
    <mergeCell ref="B15:B16"/>
    <mergeCell ref="B19:B20"/>
    <mergeCell ref="B17:B18"/>
    <mergeCell ref="B3:B4"/>
    <mergeCell ref="B5:B6"/>
    <mergeCell ref="B7:B8"/>
    <mergeCell ref="B11:B12"/>
    <mergeCell ref="B13:B14"/>
    <mergeCell ref="B9:B10"/>
  </mergeCells>
  <phoneticPr fontId="6" type="noConversion"/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B2:O57"/>
  <sheetViews>
    <sheetView workbookViewId="0">
      <pane xSplit="2" ySplit="2" topLeftCell="C3" activePane="bottomRight" state="frozen"/>
      <selection activeCell="K22" sqref="K22"/>
      <selection pane="topRight" activeCell="K22" sqref="K22"/>
      <selection pane="bottomLeft" activeCell="K22" sqref="K22"/>
      <selection pane="bottomRight" activeCell="K22" sqref="K22"/>
    </sheetView>
  </sheetViews>
  <sheetFormatPr defaultColWidth="9.140625" defaultRowHeight="12.75" x14ac:dyDescent="0.2"/>
  <cols>
    <col min="1" max="1" width="3.5703125" style="101" customWidth="1"/>
    <col min="2" max="2" width="41.5703125" style="102" customWidth="1"/>
    <col min="3" max="3" width="11.85546875" style="101" customWidth="1"/>
    <col min="4" max="4" width="5" style="101" bestFit="1" customWidth="1"/>
    <col min="5" max="5" width="10.28515625" style="101" bestFit="1" customWidth="1"/>
    <col min="6" max="6" width="5" style="101" bestFit="1" customWidth="1"/>
    <col min="7" max="7" width="10.28515625" style="101" bestFit="1" customWidth="1"/>
    <col min="8" max="8" width="5" style="101" bestFit="1" customWidth="1"/>
    <col min="9" max="9" width="11.85546875" style="101" bestFit="1" customWidth="1"/>
    <col min="10" max="10" width="5" style="101" bestFit="1" customWidth="1"/>
    <col min="11" max="11" width="11.85546875" style="101" bestFit="1" customWidth="1"/>
    <col min="12" max="12" width="5" style="101" bestFit="1" customWidth="1"/>
    <col min="13" max="13" width="11.85546875" style="101" bestFit="1" customWidth="1"/>
    <col min="14" max="14" width="5" style="101" bestFit="1" customWidth="1"/>
    <col min="15" max="15" width="11.85546875" style="101" bestFit="1" customWidth="1"/>
    <col min="16" max="16384" width="9.140625" style="101"/>
  </cols>
  <sheetData>
    <row r="2" spans="2:15" x14ac:dyDescent="0.2">
      <c r="B2" s="94" t="s">
        <v>118</v>
      </c>
      <c r="C2" s="94" t="s">
        <v>19</v>
      </c>
      <c r="D2" s="207">
        <v>15</v>
      </c>
      <c r="E2" s="207"/>
      <c r="F2" s="207">
        <v>30</v>
      </c>
      <c r="G2" s="207"/>
      <c r="H2" s="207">
        <v>45</v>
      </c>
      <c r="I2" s="207"/>
      <c r="J2" s="207">
        <v>60</v>
      </c>
      <c r="K2" s="207"/>
      <c r="L2" s="207">
        <v>75</v>
      </c>
      <c r="M2" s="207"/>
      <c r="N2" s="207">
        <v>90</v>
      </c>
      <c r="O2" s="207"/>
    </row>
    <row r="3" spans="2:15" x14ac:dyDescent="0.2">
      <c r="B3" s="206" t="s">
        <v>59</v>
      </c>
      <c r="C3" s="105" t="s">
        <v>3</v>
      </c>
      <c r="D3" s="96">
        <v>0</v>
      </c>
      <c r="E3" s="97">
        <f>VLOOKUP($C3,FROTA!$B$58:$G$63,6,0)*D3</f>
        <v>0</v>
      </c>
      <c r="F3" s="96">
        <v>1</v>
      </c>
      <c r="G3" s="97">
        <f>VLOOKUP($C3,FROTA!$B$58:$G$63,6,0)*F3</f>
        <v>333.33994782608693</v>
      </c>
      <c r="H3" s="96">
        <v>0</v>
      </c>
      <c r="I3" s="97">
        <f>VLOOKUP($C3,FROTA!$B$58:$G$63,6,0)*H3</f>
        <v>0</v>
      </c>
      <c r="J3" s="96">
        <v>0</v>
      </c>
      <c r="K3" s="97">
        <f>VLOOKUP($C3,FROTA!$B$58:$G$63,6,0)*J3</f>
        <v>0</v>
      </c>
      <c r="L3" s="96">
        <v>1</v>
      </c>
      <c r="M3" s="97">
        <f>VLOOKUP($C3,FROTA!$B$58:$G$63,6,0)*L3</f>
        <v>333.33994782608693</v>
      </c>
      <c r="N3" s="96">
        <v>0</v>
      </c>
      <c r="O3" s="97">
        <f>VLOOKUP($C3,FROTA!$B$58:$G$63,6,0)*N3</f>
        <v>0</v>
      </c>
    </row>
    <row r="4" spans="2:15" x14ac:dyDescent="0.2">
      <c r="B4" s="206"/>
      <c r="C4" s="105" t="s">
        <v>4</v>
      </c>
      <c r="D4" s="96">
        <v>0</v>
      </c>
      <c r="E4" s="97">
        <f>VLOOKUP($C4,FROTA!$B$58:$G$63,6,0)*D4</f>
        <v>0</v>
      </c>
      <c r="F4" s="96">
        <v>0</v>
      </c>
      <c r="G4" s="97">
        <f>VLOOKUP($C4,FROTA!$B$58:$G$63,6,0)*F4</f>
        <v>0</v>
      </c>
      <c r="H4" s="96">
        <v>1</v>
      </c>
      <c r="I4" s="97">
        <f>VLOOKUP($C4,FROTA!$B$58:$G$63,6,0)*H4</f>
        <v>424.46344782608696</v>
      </c>
      <c r="J4" s="96">
        <v>1</v>
      </c>
      <c r="K4" s="97">
        <f>VLOOKUP($C4,FROTA!$B$58:$G$63,6,0)*J4</f>
        <v>424.46344782608696</v>
      </c>
      <c r="L4" s="96">
        <v>0</v>
      </c>
      <c r="M4" s="97">
        <f>VLOOKUP($C4,FROTA!$B$58:$G$63,6,0)*L4</f>
        <v>0</v>
      </c>
      <c r="N4" s="96">
        <v>1</v>
      </c>
      <c r="O4" s="97">
        <f>VLOOKUP($C4,FROTA!$B$58:$G$63,6,0)*N4</f>
        <v>424.46344782608696</v>
      </c>
    </row>
    <row r="5" spans="2:15" x14ac:dyDescent="0.2">
      <c r="B5" s="206"/>
      <c r="C5" s="105" t="s">
        <v>5</v>
      </c>
      <c r="D5" s="96">
        <v>0</v>
      </c>
      <c r="E5" s="97">
        <f>VLOOKUP($C5,FROTA!$B$58:$G$63,6,0)*D5</f>
        <v>0</v>
      </c>
      <c r="F5" s="96">
        <v>0</v>
      </c>
      <c r="G5" s="97">
        <f>VLOOKUP($C5,FROTA!$B$58:$G$63,6,0)*F5</f>
        <v>0</v>
      </c>
      <c r="H5" s="96">
        <v>0</v>
      </c>
      <c r="I5" s="97">
        <f>VLOOKUP($C5,FROTA!$B$58:$G$63,6,0)*H5</f>
        <v>0</v>
      </c>
      <c r="J5" s="96">
        <v>0</v>
      </c>
      <c r="K5" s="97">
        <f>VLOOKUP($C5,FROTA!$B$58:$G$63,6,0)*J5</f>
        <v>0</v>
      </c>
      <c r="L5" s="96">
        <v>0</v>
      </c>
      <c r="M5" s="97">
        <f>VLOOKUP($C5,FROTA!$B$58:$G$63,6,0)*L5</f>
        <v>0</v>
      </c>
      <c r="N5" s="96">
        <v>0</v>
      </c>
      <c r="O5" s="97">
        <f>VLOOKUP($C5,FROTA!$B$58:$G$63,6,0)*N5</f>
        <v>0</v>
      </c>
    </row>
    <row r="6" spans="2:15" x14ac:dyDescent="0.2">
      <c r="B6" s="206"/>
      <c r="C6" s="105" t="s">
        <v>6</v>
      </c>
      <c r="D6" s="96">
        <v>0</v>
      </c>
      <c r="E6" s="97">
        <f>VLOOKUP($C6,FROTA!$B$58:$G$63,6,0)*D6</f>
        <v>0</v>
      </c>
      <c r="F6" s="96">
        <v>0</v>
      </c>
      <c r="G6" s="97">
        <f>VLOOKUP($C6,FROTA!$B$58:$G$63,6,0)*F6</f>
        <v>0</v>
      </c>
      <c r="H6" s="96">
        <v>0</v>
      </c>
      <c r="I6" s="97">
        <f>VLOOKUP($C6,FROTA!$B$58:$G$63,6,0)*H6</f>
        <v>0</v>
      </c>
      <c r="J6" s="96">
        <v>0</v>
      </c>
      <c r="K6" s="97">
        <f>VLOOKUP($C6,FROTA!$B$58:$G$63,6,0)*J6</f>
        <v>0</v>
      </c>
      <c r="L6" s="96">
        <v>0</v>
      </c>
      <c r="M6" s="97">
        <f>VLOOKUP($C6,FROTA!$B$58:$G$63,6,0)*L6</f>
        <v>0</v>
      </c>
      <c r="N6" s="96">
        <v>0</v>
      </c>
      <c r="O6" s="97">
        <f>VLOOKUP($C6,FROTA!$B$58:$G$63,6,0)*N6</f>
        <v>0</v>
      </c>
    </row>
    <row r="7" spans="2:15" x14ac:dyDescent="0.2">
      <c r="B7" s="206"/>
      <c r="C7" s="105" t="s">
        <v>7</v>
      </c>
      <c r="D7" s="96">
        <v>0</v>
      </c>
      <c r="E7" s="97">
        <f>VLOOKUP($C7,FROTA!$B$58:$G$63,6,0)*D7</f>
        <v>0</v>
      </c>
      <c r="F7" s="96">
        <v>0</v>
      </c>
      <c r="G7" s="97">
        <f>VLOOKUP($C7,FROTA!$B$58:$G$63,6,0)*F7</f>
        <v>0</v>
      </c>
      <c r="H7" s="96">
        <v>0</v>
      </c>
      <c r="I7" s="97">
        <f>VLOOKUP($C7,FROTA!$B$58:$G$63,6,0)*H7</f>
        <v>0</v>
      </c>
      <c r="J7" s="96">
        <v>0</v>
      </c>
      <c r="K7" s="97">
        <f>VLOOKUP($C7,FROTA!$B$58:$G$63,6,0)*J7</f>
        <v>0</v>
      </c>
      <c r="L7" s="96">
        <v>0</v>
      </c>
      <c r="M7" s="97">
        <f>VLOOKUP($C7,FROTA!$B$58:$G$63,6,0)*L7</f>
        <v>0</v>
      </c>
      <c r="N7" s="96">
        <v>0</v>
      </c>
      <c r="O7" s="97">
        <f>VLOOKUP($C7,FROTA!$B$58:$G$63,6,0)*N7</f>
        <v>0</v>
      </c>
    </row>
    <row r="8" spans="2:15" x14ac:dyDescent="0.2">
      <c r="B8" s="206"/>
      <c r="C8" s="105" t="s">
        <v>8</v>
      </c>
      <c r="D8" s="96">
        <v>0</v>
      </c>
      <c r="E8" s="97">
        <f>VLOOKUP($C8,FROTA!$B$58:$G$63,6,0)*D8</f>
        <v>0</v>
      </c>
      <c r="F8" s="96">
        <v>0</v>
      </c>
      <c r="G8" s="97">
        <f>VLOOKUP($C8,FROTA!$B$58:$G$63,6,0)*F8</f>
        <v>0</v>
      </c>
      <c r="H8" s="96">
        <v>0</v>
      </c>
      <c r="I8" s="97">
        <f>VLOOKUP($C8,FROTA!$B$58:$G$63,6,0)*H8</f>
        <v>0</v>
      </c>
      <c r="J8" s="96">
        <v>0</v>
      </c>
      <c r="K8" s="97">
        <f>VLOOKUP($C8,FROTA!$B$58:$G$63,6,0)*J8</f>
        <v>0</v>
      </c>
      <c r="L8" s="96">
        <v>0</v>
      </c>
      <c r="M8" s="97">
        <f>VLOOKUP($C8,FROTA!$B$58:$G$63,6,0)*L8</f>
        <v>0</v>
      </c>
      <c r="N8" s="96">
        <v>0</v>
      </c>
      <c r="O8" s="97">
        <f>VLOOKUP($C8,FROTA!$B$58:$G$63,6,0)*N8</f>
        <v>0</v>
      </c>
    </row>
    <row r="9" spans="2:15" x14ac:dyDescent="0.2">
      <c r="B9" s="188" t="s">
        <v>60</v>
      </c>
      <c r="C9" s="103" t="s">
        <v>3</v>
      </c>
      <c r="D9" s="104">
        <v>0</v>
      </c>
      <c r="E9" s="99">
        <f>VLOOKUP($C9,FROTA!$B$58:$G$63,6,0)*D9</f>
        <v>0</v>
      </c>
      <c r="F9" s="104">
        <v>0</v>
      </c>
      <c r="G9" s="99">
        <f>VLOOKUP($C9,FROTA!$B$58:$G$63,6,0)*F9</f>
        <v>0</v>
      </c>
      <c r="H9" s="104">
        <v>0</v>
      </c>
      <c r="I9" s="99">
        <f>VLOOKUP($C9,FROTA!$B$58:$G$63,6,0)*H9</f>
        <v>0</v>
      </c>
      <c r="J9" s="104">
        <v>0</v>
      </c>
      <c r="K9" s="99">
        <f>VLOOKUP($C9,FROTA!$B$58:$G$63,6,0)*J9</f>
        <v>0</v>
      </c>
      <c r="L9" s="104">
        <v>1</v>
      </c>
      <c r="M9" s="99">
        <f>VLOOKUP($C9,FROTA!$B$58:$G$63,6,0)*L9</f>
        <v>333.33994782608693</v>
      </c>
      <c r="N9" s="104">
        <v>0</v>
      </c>
      <c r="O9" s="99">
        <f>VLOOKUP($C9,FROTA!$B$58:$G$63,6,0)*N9</f>
        <v>0</v>
      </c>
    </row>
    <row r="10" spans="2:15" x14ac:dyDescent="0.2">
      <c r="B10" s="188"/>
      <c r="C10" s="103" t="s">
        <v>4</v>
      </c>
      <c r="D10" s="104">
        <v>0</v>
      </c>
      <c r="E10" s="99">
        <f>VLOOKUP($C10,FROTA!$B$58:$G$63,6,0)*D10</f>
        <v>0</v>
      </c>
      <c r="F10" s="104">
        <v>0</v>
      </c>
      <c r="G10" s="99">
        <f>VLOOKUP($C10,FROTA!$B$58:$G$63,6,0)*F10</f>
        <v>0</v>
      </c>
      <c r="H10" s="104">
        <v>0</v>
      </c>
      <c r="I10" s="99">
        <f>VLOOKUP($C10,FROTA!$B$58:$G$63,6,0)*H10</f>
        <v>0</v>
      </c>
      <c r="J10" s="104">
        <v>0</v>
      </c>
      <c r="K10" s="99">
        <f>VLOOKUP($C10,FROTA!$B$58:$G$63,6,0)*J10</f>
        <v>0</v>
      </c>
      <c r="L10" s="104">
        <v>0</v>
      </c>
      <c r="M10" s="99">
        <f>VLOOKUP($C10,FROTA!$B$58:$G$63,6,0)*L10</f>
        <v>0</v>
      </c>
      <c r="N10" s="104">
        <v>1</v>
      </c>
      <c r="O10" s="99">
        <f>VLOOKUP($C10,FROTA!$B$58:$G$63,6,0)*N10</f>
        <v>424.46344782608696</v>
      </c>
    </row>
    <row r="11" spans="2:15" x14ac:dyDescent="0.2">
      <c r="B11" s="188"/>
      <c r="C11" s="103" t="s">
        <v>5</v>
      </c>
      <c r="D11" s="104">
        <v>0</v>
      </c>
      <c r="E11" s="99">
        <f>VLOOKUP($C11,FROTA!$B$58:$G$63,6,0)*D11</f>
        <v>0</v>
      </c>
      <c r="F11" s="104">
        <v>0</v>
      </c>
      <c r="G11" s="99">
        <f>VLOOKUP($C11,FROTA!$B$58:$G$63,6,0)*F11</f>
        <v>0</v>
      </c>
      <c r="H11" s="104">
        <v>0</v>
      </c>
      <c r="I11" s="99">
        <f>VLOOKUP($C11,FROTA!$B$58:$G$63,6,0)*H11</f>
        <v>0</v>
      </c>
      <c r="J11" s="104">
        <v>0</v>
      </c>
      <c r="K11" s="99">
        <f>VLOOKUP($C11,FROTA!$B$58:$G$63,6,0)*J11</f>
        <v>0</v>
      </c>
      <c r="L11" s="104">
        <v>0</v>
      </c>
      <c r="M11" s="99">
        <f>VLOOKUP($C11,FROTA!$B$58:$G$63,6,0)*L11</f>
        <v>0</v>
      </c>
      <c r="N11" s="104">
        <v>0</v>
      </c>
      <c r="O11" s="99">
        <f>VLOOKUP($C11,FROTA!$B$58:$G$63,6,0)*N11</f>
        <v>0</v>
      </c>
    </row>
    <row r="12" spans="2:15" x14ac:dyDescent="0.2">
      <c r="B12" s="188"/>
      <c r="C12" s="103" t="s">
        <v>6</v>
      </c>
      <c r="D12" s="104">
        <v>0</v>
      </c>
      <c r="E12" s="99">
        <f>VLOOKUP($C12,FROTA!$B$58:$G$63,6,0)*D12</f>
        <v>0</v>
      </c>
      <c r="F12" s="104">
        <v>0</v>
      </c>
      <c r="G12" s="99">
        <f>VLOOKUP($C12,FROTA!$B$58:$G$63,6,0)*F12</f>
        <v>0</v>
      </c>
      <c r="H12" s="104">
        <v>0</v>
      </c>
      <c r="I12" s="99">
        <f>VLOOKUP($C12,FROTA!$B$58:$G$63,6,0)*H12</f>
        <v>0</v>
      </c>
      <c r="J12" s="104">
        <v>0</v>
      </c>
      <c r="K12" s="99">
        <f>VLOOKUP($C12,FROTA!$B$58:$G$63,6,0)*J12</f>
        <v>0</v>
      </c>
      <c r="L12" s="104">
        <v>0</v>
      </c>
      <c r="M12" s="99">
        <f>VLOOKUP($C12,FROTA!$B$58:$G$63,6,0)*L12</f>
        <v>0</v>
      </c>
      <c r="N12" s="104">
        <v>0</v>
      </c>
      <c r="O12" s="99">
        <f>VLOOKUP($C12,FROTA!$B$58:$G$63,6,0)*N12</f>
        <v>0</v>
      </c>
    </row>
    <row r="13" spans="2:15" x14ac:dyDescent="0.2">
      <c r="B13" s="188"/>
      <c r="C13" s="103" t="s">
        <v>7</v>
      </c>
      <c r="D13" s="104">
        <v>0</v>
      </c>
      <c r="E13" s="99">
        <f>VLOOKUP($C13,FROTA!$B$58:$G$63,6,0)*D13</f>
        <v>0</v>
      </c>
      <c r="F13" s="104">
        <v>0</v>
      </c>
      <c r="G13" s="99">
        <f>VLOOKUP($C13,FROTA!$B$58:$G$63,6,0)*F13</f>
        <v>0</v>
      </c>
      <c r="H13" s="104">
        <v>0</v>
      </c>
      <c r="I13" s="99">
        <f>VLOOKUP($C13,FROTA!$B$58:$G$63,6,0)*H13</f>
        <v>0</v>
      </c>
      <c r="J13" s="104">
        <v>0</v>
      </c>
      <c r="K13" s="99">
        <f>VLOOKUP($C13,FROTA!$B$58:$G$63,6,0)*J13</f>
        <v>0</v>
      </c>
      <c r="L13" s="104">
        <v>0</v>
      </c>
      <c r="M13" s="99">
        <f>VLOOKUP($C13,FROTA!$B$58:$G$63,6,0)*L13</f>
        <v>0</v>
      </c>
      <c r="N13" s="104">
        <v>0</v>
      </c>
      <c r="O13" s="99">
        <f>VLOOKUP($C13,FROTA!$B$58:$G$63,6,0)*N13</f>
        <v>0</v>
      </c>
    </row>
    <row r="14" spans="2:15" x14ac:dyDescent="0.2">
      <c r="B14" s="188"/>
      <c r="C14" s="103" t="s">
        <v>8</v>
      </c>
      <c r="D14" s="104">
        <v>0</v>
      </c>
      <c r="E14" s="99">
        <f>VLOOKUP($C14,FROTA!$B$58:$G$63,6,0)*D14</f>
        <v>0</v>
      </c>
      <c r="F14" s="104">
        <v>0</v>
      </c>
      <c r="G14" s="99">
        <f>VLOOKUP($C14,FROTA!$B$58:$G$63,6,0)*F14</f>
        <v>0</v>
      </c>
      <c r="H14" s="104">
        <v>0</v>
      </c>
      <c r="I14" s="99">
        <f>VLOOKUP($C14,FROTA!$B$58:$G$63,6,0)*H14</f>
        <v>0</v>
      </c>
      <c r="J14" s="104">
        <v>0</v>
      </c>
      <c r="K14" s="99">
        <f>VLOOKUP($C14,FROTA!$B$58:$G$63,6,0)*J14</f>
        <v>0</v>
      </c>
      <c r="L14" s="104">
        <v>0</v>
      </c>
      <c r="M14" s="99">
        <f>VLOOKUP($C14,FROTA!$B$58:$G$63,6,0)*L14</f>
        <v>0</v>
      </c>
      <c r="N14" s="104">
        <v>0</v>
      </c>
      <c r="O14" s="99">
        <f>VLOOKUP($C14,FROTA!$B$58:$G$63,6,0)*N14</f>
        <v>0</v>
      </c>
    </row>
    <row r="15" spans="2:15" x14ac:dyDescent="0.2">
      <c r="B15" s="206" t="s">
        <v>58</v>
      </c>
      <c r="C15" s="105" t="s">
        <v>3</v>
      </c>
      <c r="D15" s="104">
        <v>0</v>
      </c>
      <c r="E15" s="97">
        <f>VLOOKUP($C15,FROTA!$B$58:$G$63,6,0)*D15</f>
        <v>0</v>
      </c>
      <c r="F15" s="104">
        <v>0</v>
      </c>
      <c r="G15" s="97">
        <f>VLOOKUP($C15,FROTA!$B$58:$G$63,6,0)*F15</f>
        <v>0</v>
      </c>
      <c r="H15" s="104">
        <v>0</v>
      </c>
      <c r="I15" s="97">
        <f>VLOOKUP($C15,FROTA!$B$58:$G$63,6,0)*H15</f>
        <v>0</v>
      </c>
      <c r="J15" s="104">
        <v>0</v>
      </c>
      <c r="K15" s="97">
        <f>VLOOKUP($C15,FROTA!$B$58:$G$63,6,0)*J15</f>
        <v>0</v>
      </c>
      <c r="L15" s="104">
        <v>0</v>
      </c>
      <c r="M15" s="97">
        <f>VLOOKUP($C15,FROTA!$B$58:$G$63,6,0)*L15</f>
        <v>0</v>
      </c>
      <c r="N15" s="104">
        <v>0</v>
      </c>
      <c r="O15" s="97">
        <f>VLOOKUP($C15,FROTA!$B$58:$G$63,6,0)*N15</f>
        <v>0</v>
      </c>
    </row>
    <row r="16" spans="2:15" x14ac:dyDescent="0.2">
      <c r="B16" s="206"/>
      <c r="C16" s="105" t="s">
        <v>4</v>
      </c>
      <c r="D16" s="104">
        <v>0</v>
      </c>
      <c r="E16" s="97">
        <f>VLOOKUP($C16,FROTA!$B$58:$G$63,6,0)*D16</f>
        <v>0</v>
      </c>
      <c r="F16" s="104">
        <v>0</v>
      </c>
      <c r="G16" s="97">
        <f>VLOOKUP($C16,FROTA!$B$58:$G$63,6,0)*F16</f>
        <v>0</v>
      </c>
      <c r="H16" s="104">
        <v>0</v>
      </c>
      <c r="I16" s="97">
        <f>VLOOKUP($C16,FROTA!$B$58:$G$63,6,0)*H16</f>
        <v>0</v>
      </c>
      <c r="J16" s="104">
        <v>0</v>
      </c>
      <c r="K16" s="97">
        <f>VLOOKUP($C16,FROTA!$B$58:$G$63,6,0)*J16</f>
        <v>0</v>
      </c>
      <c r="L16" s="104">
        <v>0</v>
      </c>
      <c r="M16" s="97">
        <f>VLOOKUP($C16,FROTA!$B$58:$G$63,6,0)*L16</f>
        <v>0</v>
      </c>
      <c r="N16" s="104">
        <v>0</v>
      </c>
      <c r="O16" s="97">
        <f>VLOOKUP($C16,FROTA!$B$58:$G$63,6,0)*N16</f>
        <v>0</v>
      </c>
    </row>
    <row r="17" spans="2:15" x14ac:dyDescent="0.2">
      <c r="B17" s="206"/>
      <c r="C17" s="105" t="s">
        <v>5</v>
      </c>
      <c r="D17" s="104">
        <v>0</v>
      </c>
      <c r="E17" s="97">
        <f>VLOOKUP($C17,FROTA!$B$58:$G$63,6,0)*D17</f>
        <v>0</v>
      </c>
      <c r="F17" s="104">
        <v>0</v>
      </c>
      <c r="G17" s="97">
        <f>VLOOKUP($C17,FROTA!$B$58:$G$63,6,0)*F17</f>
        <v>0</v>
      </c>
      <c r="H17" s="104">
        <v>0</v>
      </c>
      <c r="I17" s="97">
        <f>VLOOKUP($C17,FROTA!$B$58:$G$63,6,0)*H17</f>
        <v>0</v>
      </c>
      <c r="J17" s="104">
        <v>0</v>
      </c>
      <c r="K17" s="97">
        <f>VLOOKUP($C17,FROTA!$B$58:$G$63,6,0)*J17</f>
        <v>0</v>
      </c>
      <c r="L17" s="104">
        <v>0</v>
      </c>
      <c r="M17" s="97">
        <f>VLOOKUP($C17,FROTA!$B$58:$G$63,6,0)*L17</f>
        <v>0</v>
      </c>
      <c r="N17" s="104">
        <v>0</v>
      </c>
      <c r="O17" s="97">
        <f>VLOOKUP($C17,FROTA!$B$58:$G$63,6,0)*N17</f>
        <v>0</v>
      </c>
    </row>
    <row r="18" spans="2:15" x14ac:dyDescent="0.2">
      <c r="B18" s="206"/>
      <c r="C18" s="105" t="s">
        <v>6</v>
      </c>
      <c r="D18" s="104">
        <v>0</v>
      </c>
      <c r="E18" s="97">
        <f>VLOOKUP($C18,FROTA!$B$58:$G$63,6,0)*D18</f>
        <v>0</v>
      </c>
      <c r="F18" s="104">
        <v>0</v>
      </c>
      <c r="G18" s="97">
        <f>VLOOKUP($C18,FROTA!$B$58:$G$63,6,0)*F18</f>
        <v>0</v>
      </c>
      <c r="H18" s="104">
        <v>0</v>
      </c>
      <c r="I18" s="97">
        <f>VLOOKUP($C18,FROTA!$B$58:$G$63,6,0)*H18</f>
        <v>0</v>
      </c>
      <c r="J18" s="104">
        <v>0</v>
      </c>
      <c r="K18" s="97">
        <f>VLOOKUP($C18,FROTA!$B$58:$G$63,6,0)*J18</f>
        <v>0</v>
      </c>
      <c r="L18" s="104">
        <v>0</v>
      </c>
      <c r="M18" s="97">
        <f>VLOOKUP($C18,FROTA!$B$58:$G$63,6,0)*L18</f>
        <v>0</v>
      </c>
      <c r="N18" s="104">
        <v>0</v>
      </c>
      <c r="O18" s="97">
        <f>VLOOKUP($C18,FROTA!$B$58:$G$63,6,0)*N18</f>
        <v>0</v>
      </c>
    </row>
    <row r="19" spans="2:15" x14ac:dyDescent="0.2">
      <c r="B19" s="206"/>
      <c r="C19" s="105" t="s">
        <v>7</v>
      </c>
      <c r="D19" s="104">
        <v>0</v>
      </c>
      <c r="E19" s="97">
        <f>VLOOKUP($C19,FROTA!$B$58:$G$63,6,0)*D19</f>
        <v>0</v>
      </c>
      <c r="F19" s="104">
        <v>0</v>
      </c>
      <c r="G19" s="97">
        <f>VLOOKUP($C19,FROTA!$B$58:$G$63,6,0)*F19</f>
        <v>0</v>
      </c>
      <c r="H19" s="104">
        <v>0</v>
      </c>
      <c r="I19" s="97">
        <f>VLOOKUP($C19,FROTA!$B$58:$G$63,6,0)*H19</f>
        <v>0</v>
      </c>
      <c r="J19" s="104">
        <v>0</v>
      </c>
      <c r="K19" s="97">
        <f>VLOOKUP($C19,FROTA!$B$58:$G$63,6,0)*J19</f>
        <v>0</v>
      </c>
      <c r="L19" s="104">
        <v>0</v>
      </c>
      <c r="M19" s="97">
        <f>VLOOKUP($C19,FROTA!$B$58:$G$63,6,0)*L19</f>
        <v>0</v>
      </c>
      <c r="N19" s="104">
        <v>0</v>
      </c>
      <c r="O19" s="97">
        <f>VLOOKUP($C19,FROTA!$B$58:$G$63,6,0)*N19</f>
        <v>0</v>
      </c>
    </row>
    <row r="20" spans="2:15" x14ac:dyDescent="0.2">
      <c r="B20" s="206"/>
      <c r="C20" s="105" t="s">
        <v>8</v>
      </c>
      <c r="D20" s="104">
        <v>0</v>
      </c>
      <c r="E20" s="97">
        <f>VLOOKUP($C20,FROTA!$B$58:$G$63,6,0)*D20</f>
        <v>0</v>
      </c>
      <c r="F20" s="104">
        <v>0</v>
      </c>
      <c r="G20" s="97">
        <f>VLOOKUP($C20,FROTA!$B$58:$G$63,6,0)*F20</f>
        <v>0</v>
      </c>
      <c r="H20" s="104">
        <v>0</v>
      </c>
      <c r="I20" s="97">
        <f>VLOOKUP($C20,FROTA!$B$58:$G$63,6,0)*H20</f>
        <v>0</v>
      </c>
      <c r="J20" s="104">
        <v>0</v>
      </c>
      <c r="K20" s="97">
        <f>VLOOKUP($C20,FROTA!$B$58:$G$63,6,0)*J20</f>
        <v>0</v>
      </c>
      <c r="L20" s="104">
        <v>0</v>
      </c>
      <c r="M20" s="97">
        <f>VLOOKUP($C20,FROTA!$B$58:$G$63,6,0)*L20</f>
        <v>0</v>
      </c>
      <c r="N20" s="104">
        <v>0</v>
      </c>
      <c r="O20" s="97">
        <f>VLOOKUP($C20,FROTA!$B$58:$G$63,6,0)*N20</f>
        <v>0</v>
      </c>
    </row>
    <row r="21" spans="2:15" x14ac:dyDescent="0.2">
      <c r="B21" s="188" t="s">
        <v>67</v>
      </c>
      <c r="C21" s="103" t="s">
        <v>3</v>
      </c>
      <c r="D21" s="104">
        <v>0</v>
      </c>
      <c r="E21" s="99">
        <f>VLOOKUP($C21,FROTA!$B$58:$G$63,6,0)*D21</f>
        <v>0</v>
      </c>
      <c r="F21" s="104">
        <v>0</v>
      </c>
      <c r="G21" s="99">
        <f>VLOOKUP($C21,FROTA!$B$58:$G$63,6,0)*F21</f>
        <v>0</v>
      </c>
      <c r="H21" s="104">
        <v>0</v>
      </c>
      <c r="I21" s="99">
        <f>VLOOKUP($C21,FROTA!$B$58:$G$63,6,0)*H21</f>
        <v>0</v>
      </c>
      <c r="J21" s="104">
        <v>0</v>
      </c>
      <c r="K21" s="99">
        <f>VLOOKUP($C21,FROTA!$B$58:$G$63,6,0)*J21</f>
        <v>0</v>
      </c>
      <c r="L21" s="104">
        <v>0</v>
      </c>
      <c r="M21" s="99">
        <f>VLOOKUP($C21,FROTA!$B$58:$G$63,6,0)*L21</f>
        <v>0</v>
      </c>
      <c r="N21" s="104">
        <v>0</v>
      </c>
      <c r="O21" s="99">
        <f>VLOOKUP($C21,FROTA!$B$58:$G$63,6,0)*N21</f>
        <v>0</v>
      </c>
    </row>
    <row r="22" spans="2:15" x14ac:dyDescent="0.2">
      <c r="B22" s="188"/>
      <c r="C22" s="103" t="s">
        <v>4</v>
      </c>
      <c r="D22" s="104">
        <v>0</v>
      </c>
      <c r="E22" s="99">
        <f>VLOOKUP($C22,FROTA!$B$58:$G$63,6,0)*D22</f>
        <v>0</v>
      </c>
      <c r="F22" s="104">
        <v>0</v>
      </c>
      <c r="G22" s="99">
        <f>VLOOKUP($C22,FROTA!$B$58:$G$63,6,0)*F22</f>
        <v>0</v>
      </c>
      <c r="H22" s="104">
        <v>0</v>
      </c>
      <c r="I22" s="99">
        <f>VLOOKUP($C22,FROTA!$B$58:$G$63,6,0)*H22</f>
        <v>0</v>
      </c>
      <c r="J22" s="104">
        <v>0</v>
      </c>
      <c r="K22" s="99">
        <f>VLOOKUP($C22,FROTA!$B$58:$G$63,6,0)*J22</f>
        <v>0</v>
      </c>
      <c r="L22" s="104">
        <v>0</v>
      </c>
      <c r="M22" s="99">
        <f>VLOOKUP($C22,FROTA!$B$58:$G$63,6,0)*L22</f>
        <v>0</v>
      </c>
      <c r="N22" s="104">
        <v>0</v>
      </c>
      <c r="O22" s="99">
        <f>VLOOKUP($C22,FROTA!$B$58:$G$63,6,0)*N22</f>
        <v>0</v>
      </c>
    </row>
    <row r="23" spans="2:15" x14ac:dyDescent="0.2">
      <c r="B23" s="188"/>
      <c r="C23" s="103" t="s">
        <v>5</v>
      </c>
      <c r="D23" s="104">
        <v>1</v>
      </c>
      <c r="E23" s="99">
        <f>VLOOKUP($C23,FROTA!$B$58:$G$63,6,0)*D23</f>
        <v>482.98856237154155</v>
      </c>
      <c r="F23" s="104">
        <v>0</v>
      </c>
      <c r="G23" s="99">
        <f>VLOOKUP($C23,FROTA!$B$58:$G$63,6,0)*F23</f>
        <v>0</v>
      </c>
      <c r="H23" s="104">
        <v>0</v>
      </c>
      <c r="I23" s="99">
        <f>VLOOKUP($C23,FROTA!$B$58:$G$63,6,0)*H23</f>
        <v>0</v>
      </c>
      <c r="J23" s="104">
        <v>0</v>
      </c>
      <c r="K23" s="99">
        <f>VLOOKUP($C23,FROTA!$B$58:$G$63,6,0)*J23</f>
        <v>0</v>
      </c>
      <c r="L23" s="104">
        <v>0</v>
      </c>
      <c r="M23" s="99">
        <f>VLOOKUP($C23,FROTA!$B$58:$G$63,6,0)*L23</f>
        <v>0</v>
      </c>
      <c r="N23" s="104">
        <v>0</v>
      </c>
      <c r="O23" s="99">
        <f>VLOOKUP($C23,FROTA!$B$58:$G$63,6,0)*N23</f>
        <v>0</v>
      </c>
    </row>
    <row r="24" spans="2:15" x14ac:dyDescent="0.2">
      <c r="B24" s="188"/>
      <c r="C24" s="103" t="s">
        <v>6</v>
      </c>
      <c r="D24" s="104">
        <v>0</v>
      </c>
      <c r="E24" s="99">
        <f>VLOOKUP($C24,FROTA!$B$58:$G$63,6,0)*D24</f>
        <v>0</v>
      </c>
      <c r="F24" s="104">
        <v>0</v>
      </c>
      <c r="G24" s="99">
        <f>VLOOKUP($C24,FROTA!$B$58:$G$63,6,0)*F24</f>
        <v>0</v>
      </c>
      <c r="H24" s="104">
        <v>0</v>
      </c>
      <c r="I24" s="99">
        <f>VLOOKUP($C24,FROTA!$B$58:$G$63,6,0)*H24</f>
        <v>0</v>
      </c>
      <c r="J24" s="104">
        <v>0</v>
      </c>
      <c r="K24" s="99">
        <f>VLOOKUP($C24,FROTA!$B$58:$G$63,6,0)*J24</f>
        <v>0</v>
      </c>
      <c r="L24" s="104">
        <v>0</v>
      </c>
      <c r="M24" s="99">
        <f>VLOOKUP($C24,FROTA!$B$58:$G$63,6,0)*L24</f>
        <v>0</v>
      </c>
      <c r="N24" s="104">
        <v>0</v>
      </c>
      <c r="O24" s="99">
        <f>VLOOKUP($C24,FROTA!$B$58:$G$63,6,0)*N24</f>
        <v>0</v>
      </c>
    </row>
    <row r="25" spans="2:15" x14ac:dyDescent="0.2">
      <c r="B25" s="188"/>
      <c r="C25" s="103" t="s">
        <v>7</v>
      </c>
      <c r="D25" s="104">
        <v>0</v>
      </c>
      <c r="E25" s="99">
        <f>VLOOKUP($C25,FROTA!$B$58:$G$63,6,0)*D25</f>
        <v>0</v>
      </c>
      <c r="F25" s="104">
        <v>0</v>
      </c>
      <c r="G25" s="99">
        <f>VLOOKUP($C25,FROTA!$B$58:$G$63,6,0)*F25</f>
        <v>0</v>
      </c>
      <c r="H25" s="104">
        <v>0</v>
      </c>
      <c r="I25" s="99">
        <f>VLOOKUP($C25,FROTA!$B$58:$G$63,6,0)*H25</f>
        <v>0</v>
      </c>
      <c r="J25" s="104">
        <v>0</v>
      </c>
      <c r="K25" s="99">
        <f>VLOOKUP($C25,FROTA!$B$58:$G$63,6,0)*J25</f>
        <v>0</v>
      </c>
      <c r="L25" s="104">
        <v>0</v>
      </c>
      <c r="M25" s="99">
        <f>VLOOKUP($C25,FROTA!$B$58:$G$63,6,0)*L25</f>
        <v>0</v>
      </c>
      <c r="N25" s="104">
        <v>0</v>
      </c>
      <c r="O25" s="99">
        <f>VLOOKUP($C25,FROTA!$B$58:$G$63,6,0)*N25</f>
        <v>0</v>
      </c>
    </row>
    <row r="26" spans="2:15" x14ac:dyDescent="0.2">
      <c r="B26" s="188"/>
      <c r="C26" s="103" t="s">
        <v>8</v>
      </c>
      <c r="D26" s="104">
        <v>0</v>
      </c>
      <c r="E26" s="99">
        <f>VLOOKUP($C26,FROTA!$B$58:$G$63,6,0)*D26</f>
        <v>0</v>
      </c>
      <c r="F26" s="104">
        <v>0</v>
      </c>
      <c r="G26" s="99">
        <f>VLOOKUP($C26,FROTA!$B$58:$G$63,6,0)*F26</f>
        <v>0</v>
      </c>
      <c r="H26" s="104">
        <v>0</v>
      </c>
      <c r="I26" s="99">
        <f>VLOOKUP($C26,FROTA!$B$58:$G$63,6,0)*H26</f>
        <v>0</v>
      </c>
      <c r="J26" s="104">
        <v>0</v>
      </c>
      <c r="K26" s="99">
        <f>VLOOKUP($C26,FROTA!$B$58:$G$63,6,0)*J26</f>
        <v>0</v>
      </c>
      <c r="L26" s="104">
        <v>0</v>
      </c>
      <c r="M26" s="99">
        <f>VLOOKUP($C26,FROTA!$B$58:$G$63,6,0)*L26</f>
        <v>0</v>
      </c>
      <c r="N26" s="104">
        <v>0</v>
      </c>
      <c r="O26" s="99">
        <f>VLOOKUP($C26,FROTA!$B$58:$G$63,6,0)*N26</f>
        <v>0</v>
      </c>
    </row>
    <row r="27" spans="2:15" x14ac:dyDescent="0.2">
      <c r="B27" s="206" t="s">
        <v>61</v>
      </c>
      <c r="C27" s="105" t="s">
        <v>3</v>
      </c>
      <c r="D27" s="104">
        <v>0</v>
      </c>
      <c r="E27" s="97">
        <f>VLOOKUP($C27,FROTA!$B$58:$G$63,6,0)*D27</f>
        <v>0</v>
      </c>
      <c r="F27" s="104">
        <v>0</v>
      </c>
      <c r="G27" s="97">
        <f>VLOOKUP($C27,FROTA!$B$58:$G$63,6,0)*F27</f>
        <v>0</v>
      </c>
      <c r="H27" s="104">
        <v>0</v>
      </c>
      <c r="I27" s="97">
        <f>VLOOKUP($C27,FROTA!$B$58:$G$63,6,0)*H27</f>
        <v>0</v>
      </c>
      <c r="J27" s="104">
        <v>0</v>
      </c>
      <c r="K27" s="97">
        <f>VLOOKUP($C27,FROTA!$B$58:$G$63,6,0)*J27</f>
        <v>0</v>
      </c>
      <c r="L27" s="104">
        <v>0</v>
      </c>
      <c r="M27" s="97">
        <f>VLOOKUP($C27,FROTA!$B$58:$G$63,6,0)*L27</f>
        <v>0</v>
      </c>
      <c r="N27" s="104">
        <v>0</v>
      </c>
      <c r="O27" s="97">
        <f>VLOOKUP($C27,FROTA!$B$58:$G$63,6,0)*N27</f>
        <v>0</v>
      </c>
    </row>
    <row r="28" spans="2:15" x14ac:dyDescent="0.2">
      <c r="B28" s="206"/>
      <c r="C28" s="105" t="s">
        <v>4</v>
      </c>
      <c r="D28" s="104">
        <v>0</v>
      </c>
      <c r="E28" s="97">
        <f>VLOOKUP($C28,FROTA!$B$58:$G$63,6,0)*D28</f>
        <v>0</v>
      </c>
      <c r="F28" s="104">
        <v>0</v>
      </c>
      <c r="G28" s="97">
        <f>VLOOKUP($C28,FROTA!$B$58:$G$63,6,0)*F28</f>
        <v>0</v>
      </c>
      <c r="H28" s="104">
        <v>0</v>
      </c>
      <c r="I28" s="97">
        <f>VLOOKUP($C28,FROTA!$B$58:$G$63,6,0)*H28</f>
        <v>0</v>
      </c>
      <c r="J28" s="104">
        <v>0</v>
      </c>
      <c r="K28" s="97">
        <f>VLOOKUP($C28,FROTA!$B$58:$G$63,6,0)*J28</f>
        <v>0</v>
      </c>
      <c r="L28" s="104">
        <v>0</v>
      </c>
      <c r="M28" s="97">
        <f>VLOOKUP($C28,FROTA!$B$58:$G$63,6,0)*L28</f>
        <v>0</v>
      </c>
      <c r="N28" s="104">
        <v>0</v>
      </c>
      <c r="O28" s="97">
        <f>VLOOKUP($C28,FROTA!$B$58:$G$63,6,0)*N28</f>
        <v>0</v>
      </c>
    </row>
    <row r="29" spans="2:15" x14ac:dyDescent="0.2">
      <c r="B29" s="206"/>
      <c r="C29" s="105" t="s">
        <v>5</v>
      </c>
      <c r="D29" s="104">
        <v>0</v>
      </c>
      <c r="E29" s="97">
        <f>VLOOKUP($C29,FROTA!$B$58:$G$63,6,0)*D29</f>
        <v>0</v>
      </c>
      <c r="F29" s="104">
        <v>0</v>
      </c>
      <c r="G29" s="97">
        <f>VLOOKUP($C29,FROTA!$B$58:$G$63,6,0)*F29</f>
        <v>0</v>
      </c>
      <c r="H29" s="104">
        <v>0</v>
      </c>
      <c r="I29" s="97">
        <f>VLOOKUP($C29,FROTA!$B$58:$G$63,6,0)*H29</f>
        <v>0</v>
      </c>
      <c r="J29" s="104">
        <v>0</v>
      </c>
      <c r="K29" s="97">
        <f>VLOOKUP($C29,FROTA!$B$58:$G$63,6,0)*J29</f>
        <v>0</v>
      </c>
      <c r="L29" s="104">
        <v>0</v>
      </c>
      <c r="M29" s="97">
        <f>VLOOKUP($C29,FROTA!$B$58:$G$63,6,0)*L29</f>
        <v>0</v>
      </c>
      <c r="N29" s="104">
        <v>0</v>
      </c>
      <c r="O29" s="97">
        <f>VLOOKUP($C29,FROTA!$B$58:$G$63,6,0)*N29</f>
        <v>0</v>
      </c>
    </row>
    <row r="30" spans="2:15" x14ac:dyDescent="0.2">
      <c r="B30" s="206"/>
      <c r="C30" s="105" t="s">
        <v>6</v>
      </c>
      <c r="D30" s="104">
        <v>0</v>
      </c>
      <c r="E30" s="97">
        <f>VLOOKUP($C30,FROTA!$B$58:$G$63,6,0)*D30</f>
        <v>0</v>
      </c>
      <c r="F30" s="104">
        <v>0</v>
      </c>
      <c r="G30" s="97">
        <f>VLOOKUP($C30,FROTA!$B$58:$G$63,6,0)*F30</f>
        <v>0</v>
      </c>
      <c r="H30" s="104">
        <v>0</v>
      </c>
      <c r="I30" s="97">
        <f>VLOOKUP($C30,FROTA!$B$58:$G$63,6,0)*H30</f>
        <v>0</v>
      </c>
      <c r="J30" s="104">
        <v>0</v>
      </c>
      <c r="K30" s="97">
        <f>VLOOKUP($C30,FROTA!$B$58:$G$63,6,0)*J30</f>
        <v>0</v>
      </c>
      <c r="L30" s="104">
        <v>0</v>
      </c>
      <c r="M30" s="97">
        <f>VLOOKUP($C30,FROTA!$B$58:$G$63,6,0)*L30</f>
        <v>0</v>
      </c>
      <c r="N30" s="104">
        <v>0</v>
      </c>
      <c r="O30" s="97">
        <f>VLOOKUP($C30,FROTA!$B$58:$G$63,6,0)*N30</f>
        <v>0</v>
      </c>
    </row>
    <row r="31" spans="2:15" x14ac:dyDescent="0.2">
      <c r="B31" s="206"/>
      <c r="C31" s="105" t="s">
        <v>7</v>
      </c>
      <c r="D31" s="104">
        <v>0</v>
      </c>
      <c r="E31" s="97">
        <f>VLOOKUP($C31,FROTA!$B$58:$G$63,6,0)*D31</f>
        <v>0</v>
      </c>
      <c r="F31" s="104">
        <v>0</v>
      </c>
      <c r="G31" s="97">
        <f>VLOOKUP($C31,FROTA!$B$58:$G$63,6,0)*F31</f>
        <v>0</v>
      </c>
      <c r="H31" s="104">
        <v>0</v>
      </c>
      <c r="I31" s="97">
        <f>VLOOKUP($C31,FROTA!$B$58:$G$63,6,0)*H31</f>
        <v>0</v>
      </c>
      <c r="J31" s="104">
        <v>0</v>
      </c>
      <c r="K31" s="97">
        <f>VLOOKUP($C31,FROTA!$B$58:$G$63,6,0)*J31</f>
        <v>0</v>
      </c>
      <c r="L31" s="104">
        <v>0</v>
      </c>
      <c r="M31" s="97">
        <f>VLOOKUP($C31,FROTA!$B$58:$G$63,6,0)*L31</f>
        <v>0</v>
      </c>
      <c r="N31" s="104">
        <v>0</v>
      </c>
      <c r="O31" s="97">
        <f>VLOOKUP($C31,FROTA!$B$58:$G$63,6,0)*N31</f>
        <v>0</v>
      </c>
    </row>
    <row r="32" spans="2:15" x14ac:dyDescent="0.2">
      <c r="B32" s="206"/>
      <c r="C32" s="105" t="s">
        <v>8</v>
      </c>
      <c r="D32" s="104">
        <v>0</v>
      </c>
      <c r="E32" s="97">
        <f>VLOOKUP($C32,FROTA!$B$58:$G$63,6,0)*D32</f>
        <v>0</v>
      </c>
      <c r="F32" s="104">
        <v>0</v>
      </c>
      <c r="G32" s="97">
        <f>VLOOKUP($C32,FROTA!$B$58:$G$63,6,0)*F32</f>
        <v>0</v>
      </c>
      <c r="H32" s="104">
        <v>0</v>
      </c>
      <c r="I32" s="97">
        <f>VLOOKUP($C32,FROTA!$B$58:$G$63,6,0)*H32</f>
        <v>0</v>
      </c>
      <c r="J32" s="104">
        <v>0</v>
      </c>
      <c r="K32" s="97">
        <f>VLOOKUP($C32,FROTA!$B$58:$G$63,6,0)*J32</f>
        <v>0</v>
      </c>
      <c r="L32" s="104">
        <v>0</v>
      </c>
      <c r="M32" s="97">
        <f>VLOOKUP($C32,FROTA!$B$58:$G$63,6,0)*L32</f>
        <v>0</v>
      </c>
      <c r="N32" s="104">
        <v>0</v>
      </c>
      <c r="O32" s="97">
        <f>VLOOKUP($C32,FROTA!$B$58:$G$63,6,0)*N32</f>
        <v>0</v>
      </c>
    </row>
    <row r="33" spans="2:15" x14ac:dyDescent="0.2">
      <c r="B33" s="188" t="s">
        <v>62</v>
      </c>
      <c r="C33" s="103" t="s">
        <v>3</v>
      </c>
      <c r="D33" s="104">
        <v>0</v>
      </c>
      <c r="E33" s="99">
        <f>VLOOKUP($C33,FROTA!$B$58:$G$63,6,0)*D33</f>
        <v>0</v>
      </c>
      <c r="F33" s="104">
        <v>0</v>
      </c>
      <c r="G33" s="99">
        <f>VLOOKUP($C33,FROTA!$B$58:$G$63,6,0)*F33</f>
        <v>0</v>
      </c>
      <c r="H33" s="104">
        <v>0</v>
      </c>
      <c r="I33" s="99">
        <f>VLOOKUP($C33,FROTA!$B$58:$G$63,6,0)*H33</f>
        <v>0</v>
      </c>
      <c r="J33" s="104">
        <v>0</v>
      </c>
      <c r="K33" s="99">
        <f>VLOOKUP($C33,FROTA!$B$58:$G$63,6,0)*J33</f>
        <v>0</v>
      </c>
      <c r="L33" s="104">
        <v>0</v>
      </c>
      <c r="M33" s="99">
        <f>VLOOKUP($C33,FROTA!$B$58:$G$63,6,0)*L33</f>
        <v>0</v>
      </c>
      <c r="N33" s="104">
        <v>0</v>
      </c>
      <c r="O33" s="99">
        <f>VLOOKUP($C33,FROTA!$B$58:$G$63,6,0)*N33</f>
        <v>0</v>
      </c>
    </row>
    <row r="34" spans="2:15" x14ac:dyDescent="0.2">
      <c r="B34" s="188"/>
      <c r="C34" s="103" t="s">
        <v>4</v>
      </c>
      <c r="D34" s="104">
        <v>0</v>
      </c>
      <c r="E34" s="99">
        <f>VLOOKUP($C34,FROTA!$B$58:$G$63,6,0)*D34</f>
        <v>0</v>
      </c>
      <c r="F34" s="104">
        <v>0</v>
      </c>
      <c r="G34" s="99">
        <f>VLOOKUP($C34,FROTA!$B$58:$G$63,6,0)*F34</f>
        <v>0</v>
      </c>
      <c r="H34" s="104">
        <v>0</v>
      </c>
      <c r="I34" s="99">
        <f>VLOOKUP($C34,FROTA!$B$58:$G$63,6,0)*H34</f>
        <v>0</v>
      </c>
      <c r="J34" s="104">
        <v>0</v>
      </c>
      <c r="K34" s="99">
        <f>VLOOKUP($C34,FROTA!$B$58:$G$63,6,0)*J34</f>
        <v>0</v>
      </c>
      <c r="L34" s="104">
        <v>0</v>
      </c>
      <c r="M34" s="99">
        <f>VLOOKUP($C34,FROTA!$B$58:$G$63,6,0)*L34</f>
        <v>0</v>
      </c>
      <c r="N34" s="104">
        <v>0</v>
      </c>
      <c r="O34" s="99">
        <f>VLOOKUP($C34,FROTA!$B$58:$G$63,6,0)*N34</f>
        <v>0</v>
      </c>
    </row>
    <row r="35" spans="2:15" x14ac:dyDescent="0.2">
      <c r="B35" s="188"/>
      <c r="C35" s="103" t="s">
        <v>5</v>
      </c>
      <c r="D35" s="104">
        <v>0</v>
      </c>
      <c r="E35" s="99">
        <f>VLOOKUP($C35,FROTA!$B$58:$G$63,6,0)*D35</f>
        <v>0</v>
      </c>
      <c r="F35" s="104">
        <v>0</v>
      </c>
      <c r="G35" s="99">
        <f>VLOOKUP($C35,FROTA!$B$58:$G$63,6,0)*F35</f>
        <v>0</v>
      </c>
      <c r="H35" s="104">
        <v>0</v>
      </c>
      <c r="I35" s="99">
        <f>VLOOKUP($C35,FROTA!$B$58:$G$63,6,0)*H35</f>
        <v>0</v>
      </c>
      <c r="J35" s="104">
        <v>0</v>
      </c>
      <c r="K35" s="99">
        <f>VLOOKUP($C35,FROTA!$B$58:$G$63,6,0)*J35</f>
        <v>0</v>
      </c>
      <c r="L35" s="104">
        <v>0</v>
      </c>
      <c r="M35" s="99">
        <f>VLOOKUP($C35,FROTA!$B$58:$G$63,6,0)*L35</f>
        <v>0</v>
      </c>
      <c r="N35" s="104">
        <v>0</v>
      </c>
      <c r="O35" s="99">
        <f>VLOOKUP($C35,FROTA!$B$58:$G$63,6,0)*N35</f>
        <v>0</v>
      </c>
    </row>
    <row r="36" spans="2:15" x14ac:dyDescent="0.2">
      <c r="B36" s="188"/>
      <c r="C36" s="103" t="s">
        <v>6</v>
      </c>
      <c r="D36" s="104">
        <v>0</v>
      </c>
      <c r="E36" s="99">
        <f>VLOOKUP($C36,FROTA!$B$58:$G$63,6,0)*D36</f>
        <v>0</v>
      </c>
      <c r="F36" s="104">
        <v>0</v>
      </c>
      <c r="G36" s="99">
        <f>VLOOKUP($C36,FROTA!$B$58:$G$63,6,0)*F36</f>
        <v>0</v>
      </c>
      <c r="H36" s="104">
        <v>0</v>
      </c>
      <c r="I36" s="99">
        <f>VLOOKUP($C36,FROTA!$B$58:$G$63,6,0)*H36</f>
        <v>0</v>
      </c>
      <c r="J36" s="104">
        <v>0</v>
      </c>
      <c r="K36" s="99">
        <f>VLOOKUP($C36,FROTA!$B$58:$G$63,6,0)*J36</f>
        <v>0</v>
      </c>
      <c r="L36" s="104">
        <v>0</v>
      </c>
      <c r="M36" s="99">
        <f>VLOOKUP($C36,FROTA!$B$58:$G$63,6,0)*L36</f>
        <v>0</v>
      </c>
      <c r="N36" s="104">
        <v>0</v>
      </c>
      <c r="O36" s="99">
        <f>VLOOKUP($C36,FROTA!$B$58:$G$63,6,0)*N36</f>
        <v>0</v>
      </c>
    </row>
    <row r="37" spans="2:15" x14ac:dyDescent="0.2">
      <c r="B37" s="188"/>
      <c r="C37" s="103" t="s">
        <v>7</v>
      </c>
      <c r="D37" s="104">
        <v>0</v>
      </c>
      <c r="E37" s="99">
        <f>VLOOKUP($C37,FROTA!$B$58:$G$63,6,0)*D37</f>
        <v>0</v>
      </c>
      <c r="F37" s="104">
        <v>0</v>
      </c>
      <c r="G37" s="99">
        <f>VLOOKUP($C37,FROTA!$B$58:$G$63,6,0)*F37</f>
        <v>0</v>
      </c>
      <c r="H37" s="104">
        <v>0</v>
      </c>
      <c r="I37" s="99">
        <f>VLOOKUP($C37,FROTA!$B$58:$G$63,6,0)*H37</f>
        <v>0</v>
      </c>
      <c r="J37" s="104">
        <v>0</v>
      </c>
      <c r="K37" s="99">
        <f>VLOOKUP($C37,FROTA!$B$58:$G$63,6,0)*J37</f>
        <v>0</v>
      </c>
      <c r="L37" s="104">
        <v>0</v>
      </c>
      <c r="M37" s="99">
        <f>VLOOKUP($C37,FROTA!$B$58:$G$63,6,0)*L37</f>
        <v>0</v>
      </c>
      <c r="N37" s="104">
        <v>0</v>
      </c>
      <c r="O37" s="99">
        <f>VLOOKUP($C37,FROTA!$B$58:$G$63,6,0)*N37</f>
        <v>0</v>
      </c>
    </row>
    <row r="38" spans="2:15" x14ac:dyDescent="0.2">
      <c r="B38" s="188"/>
      <c r="C38" s="103" t="s">
        <v>8</v>
      </c>
      <c r="D38" s="104">
        <v>0</v>
      </c>
      <c r="E38" s="99">
        <f>VLOOKUP($C38,FROTA!$B$58:$G$63,6,0)*D38</f>
        <v>0</v>
      </c>
      <c r="F38" s="104">
        <v>0</v>
      </c>
      <c r="G38" s="99">
        <f>VLOOKUP($C38,FROTA!$B$58:$G$63,6,0)*F38</f>
        <v>0</v>
      </c>
      <c r="H38" s="104">
        <v>0</v>
      </c>
      <c r="I38" s="99">
        <f>VLOOKUP($C38,FROTA!$B$58:$G$63,6,0)*H38</f>
        <v>0</v>
      </c>
      <c r="J38" s="104">
        <v>0</v>
      </c>
      <c r="K38" s="99">
        <f>VLOOKUP($C38,FROTA!$B$58:$G$63,6,0)*J38</f>
        <v>0</v>
      </c>
      <c r="L38" s="104">
        <v>0</v>
      </c>
      <c r="M38" s="99">
        <f>VLOOKUP($C38,FROTA!$B$58:$G$63,6,0)*L38</f>
        <v>0</v>
      </c>
      <c r="N38" s="104">
        <v>0</v>
      </c>
      <c r="O38" s="99">
        <f>VLOOKUP($C38,FROTA!$B$58:$G$63,6,0)*N38</f>
        <v>0</v>
      </c>
    </row>
    <row r="39" spans="2:15" x14ac:dyDescent="0.2">
      <c r="B39" s="206" t="s">
        <v>64</v>
      </c>
      <c r="C39" s="105" t="s">
        <v>3</v>
      </c>
      <c r="D39" s="104">
        <v>0</v>
      </c>
      <c r="E39" s="97">
        <f>VLOOKUP($C39,FROTA!$B$58:$G$63,6,0)*D39</f>
        <v>0</v>
      </c>
      <c r="F39" s="104">
        <v>0</v>
      </c>
      <c r="G39" s="97">
        <f>VLOOKUP($C39,FROTA!$B$58:$G$63,6,0)*F39</f>
        <v>0</v>
      </c>
      <c r="H39" s="104">
        <v>0</v>
      </c>
      <c r="I39" s="97">
        <f>VLOOKUP($C39,FROTA!$B$58:$G$63,6,0)*H39</f>
        <v>0</v>
      </c>
      <c r="J39" s="104">
        <v>0</v>
      </c>
      <c r="K39" s="97">
        <f>VLOOKUP($C39,FROTA!$B$58:$G$63,6,0)*J39</f>
        <v>0</v>
      </c>
      <c r="L39" s="104">
        <v>0</v>
      </c>
      <c r="M39" s="97">
        <f>VLOOKUP($C39,FROTA!$B$58:$G$63,6,0)*L39</f>
        <v>0</v>
      </c>
      <c r="N39" s="104">
        <v>0</v>
      </c>
      <c r="O39" s="97">
        <f>VLOOKUP($C39,FROTA!$B$58:$G$63,6,0)*N39</f>
        <v>0</v>
      </c>
    </row>
    <row r="40" spans="2:15" x14ac:dyDescent="0.2">
      <c r="B40" s="206"/>
      <c r="C40" s="105" t="s">
        <v>4</v>
      </c>
      <c r="D40" s="104">
        <v>0</v>
      </c>
      <c r="E40" s="97">
        <f>VLOOKUP($C40,FROTA!$B$58:$G$63,6,0)*D40</f>
        <v>0</v>
      </c>
      <c r="F40" s="104">
        <v>0</v>
      </c>
      <c r="G40" s="97">
        <f>VLOOKUP($C40,FROTA!$B$58:$G$63,6,0)*F40</f>
        <v>0</v>
      </c>
      <c r="H40" s="104">
        <v>0</v>
      </c>
      <c r="I40" s="97">
        <f>VLOOKUP($C40,FROTA!$B$58:$G$63,6,0)*H40</f>
        <v>0</v>
      </c>
      <c r="J40" s="104">
        <v>0</v>
      </c>
      <c r="K40" s="97">
        <f>VLOOKUP($C40,FROTA!$B$58:$G$63,6,0)*J40</f>
        <v>0</v>
      </c>
      <c r="L40" s="104">
        <v>0</v>
      </c>
      <c r="M40" s="97">
        <f>VLOOKUP($C40,FROTA!$B$58:$G$63,6,0)*L40</f>
        <v>0</v>
      </c>
      <c r="N40" s="104">
        <v>0</v>
      </c>
      <c r="O40" s="97">
        <f>VLOOKUP($C40,FROTA!$B$58:$G$63,6,0)*N40</f>
        <v>0</v>
      </c>
    </row>
    <row r="41" spans="2:15" x14ac:dyDescent="0.2">
      <c r="B41" s="206"/>
      <c r="C41" s="105" t="s">
        <v>5</v>
      </c>
      <c r="D41" s="104">
        <v>0</v>
      </c>
      <c r="E41" s="97">
        <f>VLOOKUP($C41,FROTA!$B$58:$G$63,6,0)*D41</f>
        <v>0</v>
      </c>
      <c r="F41" s="104">
        <v>1</v>
      </c>
      <c r="G41" s="97">
        <f>VLOOKUP($C41,FROTA!$B$58:$G$63,6,0)*F41</f>
        <v>482.98856237154155</v>
      </c>
      <c r="H41" s="104">
        <v>0</v>
      </c>
      <c r="I41" s="97">
        <f>VLOOKUP($C41,FROTA!$B$58:$G$63,6,0)*H41</f>
        <v>0</v>
      </c>
      <c r="J41" s="104">
        <v>1</v>
      </c>
      <c r="K41" s="97">
        <f>VLOOKUP($C41,FROTA!$B$58:$G$63,6,0)*J41</f>
        <v>482.98856237154155</v>
      </c>
      <c r="L41" s="104">
        <v>0</v>
      </c>
      <c r="M41" s="97">
        <f>VLOOKUP($C41,FROTA!$B$58:$G$63,6,0)*L41</f>
        <v>0</v>
      </c>
      <c r="N41" s="104">
        <v>0</v>
      </c>
      <c r="O41" s="97">
        <f>VLOOKUP($C41,FROTA!$B$58:$G$63,6,0)*N41</f>
        <v>0</v>
      </c>
    </row>
    <row r="42" spans="2:15" x14ac:dyDescent="0.2">
      <c r="B42" s="206"/>
      <c r="C42" s="105" t="s">
        <v>6</v>
      </c>
      <c r="D42" s="104">
        <v>0</v>
      </c>
      <c r="E42" s="97">
        <f>VLOOKUP($C42,FROTA!$B$58:$G$63,6,0)*D42</f>
        <v>0</v>
      </c>
      <c r="F42" s="104">
        <v>0</v>
      </c>
      <c r="G42" s="97">
        <f>VLOOKUP($C42,FROTA!$B$58:$G$63,6,0)*F42</f>
        <v>0</v>
      </c>
      <c r="H42" s="104">
        <v>1</v>
      </c>
      <c r="I42" s="97">
        <f>VLOOKUP($C42,FROTA!$B$58:$G$63,6,0)*H42</f>
        <v>463.99894796028605</v>
      </c>
      <c r="J42" s="104">
        <v>0</v>
      </c>
      <c r="K42" s="97">
        <f>VLOOKUP($C42,FROTA!$B$58:$G$63,6,0)*J42</f>
        <v>0</v>
      </c>
      <c r="L42" s="104">
        <v>1</v>
      </c>
      <c r="M42" s="97">
        <f>VLOOKUP($C42,FROTA!$B$58:$G$63,6,0)*L42</f>
        <v>463.99894796028605</v>
      </c>
      <c r="N42" s="104">
        <v>1</v>
      </c>
      <c r="O42" s="97">
        <f>VLOOKUP($C42,FROTA!$B$58:$G$63,6,0)*N42</f>
        <v>463.99894796028605</v>
      </c>
    </row>
    <row r="43" spans="2:15" x14ac:dyDescent="0.2">
      <c r="B43" s="206"/>
      <c r="C43" s="105" t="s">
        <v>7</v>
      </c>
      <c r="D43" s="104">
        <v>0</v>
      </c>
      <c r="E43" s="97">
        <f>VLOOKUP($C43,FROTA!$B$58:$G$63,6,0)*D43</f>
        <v>0</v>
      </c>
      <c r="F43" s="104">
        <v>0</v>
      </c>
      <c r="G43" s="97">
        <f>VLOOKUP($C43,FROTA!$B$58:$G$63,6,0)*F43</f>
        <v>0</v>
      </c>
      <c r="H43" s="104">
        <v>0</v>
      </c>
      <c r="I43" s="97">
        <f>VLOOKUP($C43,FROTA!$B$58:$G$63,6,0)*H43</f>
        <v>0</v>
      </c>
      <c r="J43" s="104">
        <v>0</v>
      </c>
      <c r="K43" s="97">
        <f>VLOOKUP($C43,FROTA!$B$58:$G$63,6,0)*J43</f>
        <v>0</v>
      </c>
      <c r="L43" s="104">
        <v>0</v>
      </c>
      <c r="M43" s="97">
        <f>VLOOKUP($C43,FROTA!$B$58:$G$63,6,0)*L43</f>
        <v>0</v>
      </c>
      <c r="N43" s="104">
        <v>0</v>
      </c>
      <c r="O43" s="97">
        <f>VLOOKUP($C43,FROTA!$B$58:$G$63,6,0)*N43</f>
        <v>0</v>
      </c>
    </row>
    <row r="44" spans="2:15" x14ac:dyDescent="0.2">
      <c r="B44" s="206"/>
      <c r="C44" s="105" t="s">
        <v>8</v>
      </c>
      <c r="D44" s="104">
        <v>0</v>
      </c>
      <c r="E44" s="97">
        <f>VLOOKUP($C44,FROTA!$B$58:$G$63,6,0)*D44</f>
        <v>0</v>
      </c>
      <c r="F44" s="104">
        <v>0</v>
      </c>
      <c r="G44" s="97">
        <f>VLOOKUP($C44,FROTA!$B$58:$G$63,6,0)*F44</f>
        <v>0</v>
      </c>
      <c r="H44" s="104">
        <v>0</v>
      </c>
      <c r="I44" s="97">
        <f>VLOOKUP($C44,FROTA!$B$58:$G$63,6,0)*H44</f>
        <v>0</v>
      </c>
      <c r="J44" s="104">
        <v>0</v>
      </c>
      <c r="K44" s="97">
        <f>VLOOKUP($C44,FROTA!$B$58:$G$63,6,0)*J44</f>
        <v>0</v>
      </c>
      <c r="L44" s="104">
        <v>0</v>
      </c>
      <c r="M44" s="97">
        <f>VLOOKUP($C44,FROTA!$B$58:$G$63,6,0)*L44</f>
        <v>0</v>
      </c>
      <c r="N44" s="104">
        <v>0</v>
      </c>
      <c r="O44" s="97">
        <f>VLOOKUP($C44,FROTA!$B$58:$G$63,6,0)*N44</f>
        <v>0</v>
      </c>
    </row>
    <row r="45" spans="2:15" x14ac:dyDescent="0.2">
      <c r="B45" s="188" t="s">
        <v>65</v>
      </c>
      <c r="C45" s="103" t="s">
        <v>3</v>
      </c>
      <c r="D45" s="104">
        <v>0</v>
      </c>
      <c r="E45" s="99">
        <f>VLOOKUP($C45,FROTA!$B$58:$G$63,6,0)*D45</f>
        <v>0</v>
      </c>
      <c r="F45" s="104">
        <v>0</v>
      </c>
      <c r="G45" s="99">
        <f>VLOOKUP($C45,FROTA!$B$58:$G$63,6,0)*F45</f>
        <v>0</v>
      </c>
      <c r="H45" s="104">
        <v>0</v>
      </c>
      <c r="I45" s="99">
        <f>VLOOKUP($C45,FROTA!$B$58:$G$63,6,0)*H45</f>
        <v>0</v>
      </c>
      <c r="J45" s="104">
        <v>0</v>
      </c>
      <c r="K45" s="99">
        <f>VLOOKUP($C45,FROTA!$B$58:$G$63,6,0)*J45</f>
        <v>0</v>
      </c>
      <c r="L45" s="104">
        <v>0</v>
      </c>
      <c r="M45" s="99">
        <f>VLOOKUP($C45,FROTA!$B$58:$G$63,6,0)*L45</f>
        <v>0</v>
      </c>
      <c r="N45" s="104">
        <v>0</v>
      </c>
      <c r="O45" s="99">
        <f>VLOOKUP($C45,FROTA!$B$58:$G$63,6,0)*N45</f>
        <v>0</v>
      </c>
    </row>
    <row r="46" spans="2:15" x14ac:dyDescent="0.2">
      <c r="B46" s="188"/>
      <c r="C46" s="103" t="s">
        <v>4</v>
      </c>
      <c r="D46" s="104">
        <v>0</v>
      </c>
      <c r="E46" s="99">
        <f>VLOOKUP($C46,FROTA!$B$58:$G$63,6,0)*D46</f>
        <v>0</v>
      </c>
      <c r="F46" s="104">
        <v>0</v>
      </c>
      <c r="G46" s="99">
        <f>VLOOKUP($C46,FROTA!$B$58:$G$63,6,0)*F46</f>
        <v>0</v>
      </c>
      <c r="H46" s="104">
        <v>0</v>
      </c>
      <c r="I46" s="99">
        <f>VLOOKUP($C46,FROTA!$B$58:$G$63,6,0)*H46</f>
        <v>0</v>
      </c>
      <c r="J46" s="104">
        <v>0</v>
      </c>
      <c r="K46" s="99">
        <f>VLOOKUP($C46,FROTA!$B$58:$G$63,6,0)*J46</f>
        <v>0</v>
      </c>
      <c r="L46" s="104">
        <v>0</v>
      </c>
      <c r="M46" s="99">
        <f>VLOOKUP($C46,FROTA!$B$58:$G$63,6,0)*L46</f>
        <v>0</v>
      </c>
      <c r="N46" s="104">
        <v>0</v>
      </c>
      <c r="O46" s="99">
        <f>VLOOKUP($C46,FROTA!$B$58:$G$63,6,0)*N46</f>
        <v>0</v>
      </c>
    </row>
    <row r="47" spans="2:15" x14ac:dyDescent="0.2">
      <c r="B47" s="188"/>
      <c r="C47" s="103" t="s">
        <v>5</v>
      </c>
      <c r="D47" s="104">
        <v>0</v>
      </c>
      <c r="E47" s="99">
        <f>VLOOKUP($C47,FROTA!$B$58:$G$63,6,0)*D47</f>
        <v>0</v>
      </c>
      <c r="F47" s="104">
        <v>0</v>
      </c>
      <c r="G47" s="99">
        <f>VLOOKUP($C47,FROTA!$B$58:$G$63,6,0)*F47</f>
        <v>0</v>
      </c>
      <c r="H47" s="104">
        <v>0</v>
      </c>
      <c r="I47" s="99">
        <f>VLOOKUP($C47,FROTA!$B$58:$G$63,6,0)*H47</f>
        <v>0</v>
      </c>
      <c r="J47" s="104">
        <v>1</v>
      </c>
      <c r="K47" s="99">
        <f>VLOOKUP($C47,FROTA!$B$58:$G$63,6,0)*J47</f>
        <v>482.98856237154155</v>
      </c>
      <c r="L47" s="104">
        <v>0</v>
      </c>
      <c r="M47" s="99">
        <f>VLOOKUP($C47,FROTA!$B$58:$G$63,6,0)*L47</f>
        <v>0</v>
      </c>
      <c r="N47" s="104">
        <v>0</v>
      </c>
      <c r="O47" s="99">
        <f>VLOOKUP($C47,FROTA!$B$58:$G$63,6,0)*N47</f>
        <v>0</v>
      </c>
    </row>
    <row r="48" spans="2:15" x14ac:dyDescent="0.2">
      <c r="B48" s="188"/>
      <c r="C48" s="103" t="s">
        <v>6</v>
      </c>
      <c r="D48" s="104">
        <v>0</v>
      </c>
      <c r="E48" s="99">
        <f>VLOOKUP($C48,FROTA!$B$58:$G$63,6,0)*D48</f>
        <v>0</v>
      </c>
      <c r="F48" s="104">
        <v>0</v>
      </c>
      <c r="G48" s="99">
        <f>VLOOKUP($C48,FROTA!$B$58:$G$63,6,0)*F48</f>
        <v>0</v>
      </c>
      <c r="H48" s="104">
        <v>0</v>
      </c>
      <c r="I48" s="99">
        <f>VLOOKUP($C48,FROTA!$B$58:$G$63,6,0)*H48</f>
        <v>0</v>
      </c>
      <c r="J48" s="104">
        <v>0</v>
      </c>
      <c r="K48" s="99">
        <f>VLOOKUP($C48,FROTA!$B$58:$G$63,6,0)*J48</f>
        <v>0</v>
      </c>
      <c r="L48" s="104">
        <v>1</v>
      </c>
      <c r="M48" s="99">
        <f>VLOOKUP($C48,FROTA!$B$58:$G$63,6,0)*L48</f>
        <v>463.99894796028605</v>
      </c>
      <c r="N48" s="104">
        <v>1</v>
      </c>
      <c r="O48" s="99">
        <f>VLOOKUP($C48,FROTA!$B$58:$G$63,6,0)*N48</f>
        <v>463.99894796028605</v>
      </c>
    </row>
    <row r="49" spans="2:15" x14ac:dyDescent="0.2">
      <c r="B49" s="188"/>
      <c r="C49" s="103" t="s">
        <v>7</v>
      </c>
      <c r="D49" s="104">
        <v>0</v>
      </c>
      <c r="E49" s="99">
        <f>VLOOKUP($C49,FROTA!$B$58:$G$63,6,0)*D49</f>
        <v>0</v>
      </c>
      <c r="F49" s="104">
        <v>0</v>
      </c>
      <c r="G49" s="99">
        <f>VLOOKUP($C49,FROTA!$B$58:$G$63,6,0)*F49</f>
        <v>0</v>
      </c>
      <c r="H49" s="104">
        <v>0</v>
      </c>
      <c r="I49" s="99">
        <f>VLOOKUP($C49,FROTA!$B$58:$G$63,6,0)*H49</f>
        <v>0</v>
      </c>
      <c r="J49" s="104">
        <v>0</v>
      </c>
      <c r="K49" s="99">
        <f>VLOOKUP($C49,FROTA!$B$58:$G$63,6,0)*J49</f>
        <v>0</v>
      </c>
      <c r="L49" s="104">
        <v>0</v>
      </c>
      <c r="M49" s="99">
        <f>VLOOKUP($C49,FROTA!$B$58:$G$63,6,0)*L49</f>
        <v>0</v>
      </c>
      <c r="N49" s="104">
        <v>0</v>
      </c>
      <c r="O49" s="99">
        <f>VLOOKUP($C49,FROTA!$B$58:$G$63,6,0)*N49</f>
        <v>0</v>
      </c>
    </row>
    <row r="50" spans="2:15" x14ac:dyDescent="0.2">
      <c r="B50" s="188"/>
      <c r="C50" s="103" t="s">
        <v>8</v>
      </c>
      <c r="D50" s="104">
        <v>0</v>
      </c>
      <c r="E50" s="99">
        <f>VLOOKUP($C50,FROTA!$B$58:$G$63,6,0)*D50</f>
        <v>0</v>
      </c>
      <c r="F50" s="104">
        <v>0</v>
      </c>
      <c r="G50" s="99">
        <f>VLOOKUP($C50,FROTA!$B$58:$G$63,6,0)*F50</f>
        <v>0</v>
      </c>
      <c r="H50" s="104">
        <v>0</v>
      </c>
      <c r="I50" s="99">
        <f>VLOOKUP($C50,FROTA!$B$58:$G$63,6,0)*H50</f>
        <v>0</v>
      </c>
      <c r="J50" s="104">
        <v>0</v>
      </c>
      <c r="K50" s="99">
        <f>VLOOKUP($C50,FROTA!$B$58:$G$63,6,0)*J50</f>
        <v>0</v>
      </c>
      <c r="L50" s="104">
        <v>0</v>
      </c>
      <c r="M50" s="99">
        <f>VLOOKUP($C50,FROTA!$B$58:$G$63,6,0)*L50</f>
        <v>0</v>
      </c>
      <c r="N50" s="104">
        <v>0</v>
      </c>
      <c r="O50" s="99">
        <f>VLOOKUP($C50,FROTA!$B$58:$G$63,6,0)*N50</f>
        <v>0</v>
      </c>
    </row>
    <row r="51" spans="2:15" x14ac:dyDescent="0.2">
      <c r="B51" s="208" t="s">
        <v>66</v>
      </c>
      <c r="C51" s="105" t="s">
        <v>3</v>
      </c>
      <c r="D51" s="104">
        <v>0</v>
      </c>
      <c r="E51" s="97">
        <f>VLOOKUP($C51,FROTA!$B$58:$G$63,6,0)*D51</f>
        <v>0</v>
      </c>
      <c r="F51" s="104">
        <v>0</v>
      </c>
      <c r="G51" s="97">
        <f>VLOOKUP($C51,FROTA!$B$58:$G$63,6,0)*F51</f>
        <v>0</v>
      </c>
      <c r="H51" s="104">
        <v>0</v>
      </c>
      <c r="I51" s="97">
        <f>VLOOKUP($C51,FROTA!$B$58:$G$63,6,0)*H51</f>
        <v>0</v>
      </c>
      <c r="J51" s="104">
        <v>0</v>
      </c>
      <c r="K51" s="97">
        <f>VLOOKUP($C51,FROTA!$B$58:$G$63,6,0)*J51</f>
        <v>0</v>
      </c>
      <c r="L51" s="104">
        <v>0</v>
      </c>
      <c r="M51" s="97">
        <f>VLOOKUP($C51,FROTA!$B$58:$G$63,6,0)*L51</f>
        <v>0</v>
      </c>
      <c r="N51" s="104">
        <v>0</v>
      </c>
      <c r="O51" s="97">
        <f>VLOOKUP($C51,FROTA!$B$58:$G$63,6,0)*N51</f>
        <v>0</v>
      </c>
    </row>
    <row r="52" spans="2:15" x14ac:dyDescent="0.2">
      <c r="B52" s="208"/>
      <c r="C52" s="105" t="s">
        <v>4</v>
      </c>
      <c r="D52" s="104">
        <v>0</v>
      </c>
      <c r="E52" s="97">
        <f>VLOOKUP($C52,FROTA!$B$58:$G$63,6,0)*D52</f>
        <v>0</v>
      </c>
      <c r="F52" s="104">
        <v>0</v>
      </c>
      <c r="G52" s="97">
        <f>VLOOKUP($C52,FROTA!$B$58:$G$63,6,0)*F52</f>
        <v>0</v>
      </c>
      <c r="H52" s="104">
        <v>0</v>
      </c>
      <c r="I52" s="97">
        <f>VLOOKUP($C52,FROTA!$B$58:$G$63,6,0)*H52</f>
        <v>0</v>
      </c>
      <c r="J52" s="104">
        <v>0</v>
      </c>
      <c r="K52" s="97">
        <f>VLOOKUP($C52,FROTA!$B$58:$G$63,6,0)*J52</f>
        <v>0</v>
      </c>
      <c r="L52" s="104">
        <v>0</v>
      </c>
      <c r="M52" s="97">
        <f>VLOOKUP($C52,FROTA!$B$58:$G$63,6,0)*L52</f>
        <v>0</v>
      </c>
      <c r="N52" s="104">
        <v>0</v>
      </c>
      <c r="O52" s="97">
        <f>VLOOKUP($C52,FROTA!$B$58:$G$63,6,0)*N52</f>
        <v>0</v>
      </c>
    </row>
    <row r="53" spans="2:15" x14ac:dyDescent="0.2">
      <c r="B53" s="208"/>
      <c r="C53" s="105" t="s">
        <v>5</v>
      </c>
      <c r="D53" s="104">
        <v>0</v>
      </c>
      <c r="E53" s="97">
        <f>VLOOKUP($C53,FROTA!$B$58:$G$63,6,0)*D53</f>
        <v>0</v>
      </c>
      <c r="F53" s="104">
        <v>0</v>
      </c>
      <c r="G53" s="97">
        <f>VLOOKUP($C53,FROTA!$B$58:$G$63,6,0)*F53</f>
        <v>0</v>
      </c>
      <c r="H53" s="104">
        <v>0</v>
      </c>
      <c r="I53" s="97">
        <f>VLOOKUP($C53,FROTA!$B$58:$G$63,6,0)*H53</f>
        <v>0</v>
      </c>
      <c r="J53" s="104">
        <v>0</v>
      </c>
      <c r="K53" s="97">
        <f>VLOOKUP($C53,FROTA!$B$58:$G$63,6,0)*J53</f>
        <v>0</v>
      </c>
      <c r="L53" s="104">
        <v>0</v>
      </c>
      <c r="M53" s="97">
        <f>VLOOKUP($C53,FROTA!$B$58:$G$63,6,0)*L53</f>
        <v>0</v>
      </c>
      <c r="N53" s="104">
        <v>0</v>
      </c>
      <c r="O53" s="97">
        <f>VLOOKUP($C53,FROTA!$B$58:$G$63,6,0)*N53</f>
        <v>0</v>
      </c>
    </row>
    <row r="54" spans="2:15" x14ac:dyDescent="0.2">
      <c r="B54" s="208"/>
      <c r="C54" s="105" t="s">
        <v>6</v>
      </c>
      <c r="D54" s="104">
        <v>0</v>
      </c>
      <c r="E54" s="97">
        <f>VLOOKUP($C54,FROTA!$B$58:$G$63,6,0)*D54</f>
        <v>0</v>
      </c>
      <c r="F54" s="104">
        <v>0</v>
      </c>
      <c r="G54" s="97">
        <f>VLOOKUP($C54,FROTA!$B$58:$G$63,6,0)*F54</f>
        <v>0</v>
      </c>
      <c r="H54" s="104">
        <v>0</v>
      </c>
      <c r="I54" s="97">
        <f>VLOOKUP($C54,FROTA!$B$58:$G$63,6,0)*H54</f>
        <v>0</v>
      </c>
      <c r="J54" s="104">
        <v>0</v>
      </c>
      <c r="K54" s="97">
        <f>VLOOKUP($C54,FROTA!$B$58:$G$63,6,0)*J54</f>
        <v>0</v>
      </c>
      <c r="L54" s="104">
        <v>0</v>
      </c>
      <c r="M54" s="97">
        <f>VLOOKUP($C54,FROTA!$B$58:$G$63,6,0)*L54</f>
        <v>0</v>
      </c>
      <c r="N54" s="104">
        <v>1</v>
      </c>
      <c r="O54" s="97">
        <f>VLOOKUP($C54,FROTA!$B$58:$G$63,6,0)*N54</f>
        <v>463.99894796028605</v>
      </c>
    </row>
    <row r="55" spans="2:15" x14ac:dyDescent="0.2">
      <c r="B55" s="208"/>
      <c r="C55" s="105" t="s">
        <v>7</v>
      </c>
      <c r="D55" s="104">
        <v>0</v>
      </c>
      <c r="E55" s="97">
        <f>VLOOKUP($C55,FROTA!$B$58:$G$63,6,0)*D55</f>
        <v>0</v>
      </c>
      <c r="F55" s="104">
        <v>0</v>
      </c>
      <c r="G55" s="97">
        <f>VLOOKUP($C55,FROTA!$B$58:$G$63,6,0)*F55</f>
        <v>0</v>
      </c>
      <c r="H55" s="104">
        <v>0</v>
      </c>
      <c r="I55" s="97">
        <f>VLOOKUP($C55,FROTA!$B$58:$G$63,6,0)*H55</f>
        <v>0</v>
      </c>
      <c r="J55" s="104">
        <v>0</v>
      </c>
      <c r="K55" s="97">
        <f>VLOOKUP($C55,FROTA!$B$58:$G$63,6,0)*J55</f>
        <v>0</v>
      </c>
      <c r="L55" s="104">
        <v>0</v>
      </c>
      <c r="M55" s="97">
        <f>VLOOKUP($C55,FROTA!$B$58:$G$63,6,0)*L55</f>
        <v>0</v>
      </c>
      <c r="N55" s="104">
        <v>0</v>
      </c>
      <c r="O55" s="97">
        <f>VLOOKUP($C55,FROTA!$B$58:$G$63,6,0)*N55</f>
        <v>0</v>
      </c>
    </row>
    <row r="56" spans="2:15" x14ac:dyDescent="0.2">
      <c r="B56" s="208"/>
      <c r="C56" s="105" t="s">
        <v>8</v>
      </c>
      <c r="D56" s="104">
        <v>0</v>
      </c>
      <c r="E56" s="97">
        <f>VLOOKUP($C56,FROTA!$B$58:$G$63,6,0)*D56</f>
        <v>0</v>
      </c>
      <c r="F56" s="104">
        <v>0</v>
      </c>
      <c r="G56" s="97">
        <f>VLOOKUP($C56,FROTA!$B$58:$G$63,6,0)*F56</f>
        <v>0</v>
      </c>
      <c r="H56" s="104">
        <v>0</v>
      </c>
      <c r="I56" s="97">
        <f>VLOOKUP($C56,FROTA!$B$58:$G$63,6,0)*H56</f>
        <v>0</v>
      </c>
      <c r="J56" s="104">
        <v>0</v>
      </c>
      <c r="K56" s="97">
        <f>VLOOKUP($C56,FROTA!$B$58:$G$63,6,0)*J56</f>
        <v>0</v>
      </c>
      <c r="L56" s="104">
        <v>0</v>
      </c>
      <c r="M56" s="97">
        <f>VLOOKUP($C56,FROTA!$B$58:$G$63,6,0)*L56</f>
        <v>0</v>
      </c>
      <c r="N56" s="104">
        <v>0</v>
      </c>
      <c r="O56" s="97">
        <f>VLOOKUP($C56,FROTA!$B$58:$G$63,6,0)*N56</f>
        <v>0</v>
      </c>
    </row>
    <row r="57" spans="2:15" x14ac:dyDescent="0.2">
      <c r="B57" s="108"/>
      <c r="C57" s="109"/>
      <c r="D57" s="109"/>
      <c r="E57" s="110">
        <f>SUM(E3:E56)</f>
        <v>482.98856237154155</v>
      </c>
      <c r="F57" s="111"/>
      <c r="G57" s="110">
        <f>SUM(G3:G56)</f>
        <v>816.32851019762847</v>
      </c>
      <c r="H57" s="111"/>
      <c r="I57" s="110">
        <f>SUM(I3:I56)</f>
        <v>888.46239578637301</v>
      </c>
      <c r="J57" s="111"/>
      <c r="K57" s="110">
        <f>SUM(K3:K56)</f>
        <v>1390.4405725691699</v>
      </c>
      <c r="L57" s="111"/>
      <c r="M57" s="110">
        <f>SUM(M3:M56)</f>
        <v>1594.6777915727457</v>
      </c>
      <c r="N57" s="111"/>
      <c r="O57" s="110">
        <f>SUM(O3:O56)</f>
        <v>2240.9237395330319</v>
      </c>
    </row>
  </sheetData>
  <mergeCells count="15">
    <mergeCell ref="B45:B50"/>
    <mergeCell ref="B51:B56"/>
    <mergeCell ref="B3:B8"/>
    <mergeCell ref="B9:B14"/>
    <mergeCell ref="B15:B20"/>
    <mergeCell ref="N2:O2"/>
    <mergeCell ref="B21:B26"/>
    <mergeCell ref="B27:B32"/>
    <mergeCell ref="B33:B38"/>
    <mergeCell ref="B39:B44"/>
    <mergeCell ref="D2:E2"/>
    <mergeCell ref="F2:G2"/>
    <mergeCell ref="H2:I2"/>
    <mergeCell ref="J2:K2"/>
    <mergeCell ref="L2:M2"/>
  </mergeCells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B2:O13"/>
  <sheetViews>
    <sheetView showGridLines="0" workbookViewId="0">
      <selection activeCell="K22" sqref="K22"/>
    </sheetView>
  </sheetViews>
  <sheetFormatPr defaultColWidth="9.140625" defaultRowHeight="15" x14ac:dyDescent="0.25"/>
  <cols>
    <col min="1" max="1" width="3.85546875" style="12" customWidth="1"/>
    <col min="2" max="2" width="39" style="13" customWidth="1"/>
    <col min="3" max="3" width="17" style="12" customWidth="1"/>
    <col min="4" max="4" width="5" style="12" bestFit="1" customWidth="1"/>
    <col min="5" max="5" width="10.28515625" style="12" bestFit="1" customWidth="1"/>
    <col min="6" max="6" width="5" style="12" bestFit="1" customWidth="1"/>
    <col min="7" max="7" width="11.85546875" style="12" bestFit="1" customWidth="1"/>
    <col min="8" max="8" width="5" style="12" bestFit="1" customWidth="1"/>
    <col min="9" max="9" width="11.85546875" style="12" bestFit="1" customWidth="1"/>
    <col min="10" max="10" width="5" style="12" bestFit="1" customWidth="1"/>
    <col min="11" max="11" width="11.85546875" style="12" bestFit="1" customWidth="1"/>
    <col min="12" max="12" width="5" style="12" bestFit="1" customWidth="1"/>
    <col min="13" max="13" width="11.85546875" style="12" bestFit="1" customWidth="1"/>
    <col min="14" max="14" width="5" style="12" bestFit="1" customWidth="1"/>
    <col min="15" max="15" width="11.85546875" style="12" bestFit="1" customWidth="1"/>
    <col min="16" max="16384" width="9.140625" style="12"/>
  </cols>
  <sheetData>
    <row r="2" spans="2:15" x14ac:dyDescent="0.25">
      <c r="B2" s="115" t="s">
        <v>117</v>
      </c>
      <c r="C2" s="116" t="s">
        <v>19</v>
      </c>
      <c r="D2" s="207">
        <v>15</v>
      </c>
      <c r="E2" s="207"/>
      <c r="F2" s="207">
        <v>30</v>
      </c>
      <c r="G2" s="207"/>
      <c r="H2" s="207">
        <v>45</v>
      </c>
      <c r="I2" s="207"/>
      <c r="J2" s="207">
        <v>60</v>
      </c>
      <c r="K2" s="207"/>
      <c r="L2" s="207">
        <v>75</v>
      </c>
      <c r="M2" s="207"/>
      <c r="N2" s="207">
        <v>90</v>
      </c>
      <c r="O2" s="207"/>
    </row>
    <row r="3" spans="2:15" x14ac:dyDescent="0.25">
      <c r="B3" s="206" t="s">
        <v>59</v>
      </c>
      <c r="C3" s="95" t="s">
        <v>56</v>
      </c>
      <c r="D3" s="96">
        <v>0</v>
      </c>
      <c r="E3" s="97">
        <f>VLOOKUP($C3,RECURSOS!$A:$B,2,0)*D3</f>
        <v>0</v>
      </c>
      <c r="F3" s="96">
        <v>1</v>
      </c>
      <c r="G3" s="97">
        <f>VLOOKUP($C3,RECURSOS!$A:$B,2,0)*F3</f>
        <v>173.86671931818179</v>
      </c>
      <c r="H3" s="96">
        <v>1</v>
      </c>
      <c r="I3" s="97">
        <f>VLOOKUP($C3,RECURSOS!$A:$B,2,0)*H3</f>
        <v>173.86671931818179</v>
      </c>
      <c r="J3" s="96">
        <v>1</v>
      </c>
      <c r="K3" s="97">
        <f>VLOOKUP($C3,RECURSOS!$A:$B,2,0)*J3</f>
        <v>173.86671931818179</v>
      </c>
      <c r="L3" s="96">
        <v>1</v>
      </c>
      <c r="M3" s="97">
        <f>VLOOKUP($C3,RECURSOS!$A:$B,2,0)*L3</f>
        <v>173.86671931818179</v>
      </c>
      <c r="N3" s="96">
        <v>1</v>
      </c>
      <c r="O3" s="97">
        <f>VLOOKUP($C3,RECURSOS!$A:$B,2,0)*N3</f>
        <v>173.86671931818179</v>
      </c>
    </row>
    <row r="4" spans="2:15" x14ac:dyDescent="0.25">
      <c r="B4" s="206"/>
      <c r="C4" s="95" t="s">
        <v>57</v>
      </c>
      <c r="D4" s="96">
        <v>0</v>
      </c>
      <c r="E4" s="97">
        <f>VLOOKUP($C4,RECURSOS!$A:$B,2,0)*D4</f>
        <v>0</v>
      </c>
      <c r="F4" s="96">
        <v>2</v>
      </c>
      <c r="G4" s="97">
        <f>VLOOKUP($C4,RECURSOS!$A:$B,2,0)*F4</f>
        <v>308.5239022727273</v>
      </c>
      <c r="H4" s="96">
        <v>3</v>
      </c>
      <c r="I4" s="97">
        <f>VLOOKUP($C4,RECURSOS!$A:$B,2,0)*H4</f>
        <v>462.78585340909092</v>
      </c>
      <c r="J4" s="96">
        <v>2</v>
      </c>
      <c r="K4" s="97">
        <f>VLOOKUP($C4,RECURSOS!$A:$B,2,0)*J4</f>
        <v>308.5239022727273</v>
      </c>
      <c r="L4" s="96">
        <v>3</v>
      </c>
      <c r="M4" s="97">
        <f>VLOOKUP($C4,RECURSOS!$A:$B,2,0)*L4</f>
        <v>462.78585340909092</v>
      </c>
      <c r="N4" s="96">
        <v>3</v>
      </c>
      <c r="O4" s="97">
        <f>VLOOKUP($C4,RECURSOS!$A:$B,2,0)*N4</f>
        <v>462.78585340909092</v>
      </c>
    </row>
    <row r="5" spans="2:15" x14ac:dyDescent="0.25">
      <c r="B5" s="188" t="s">
        <v>60</v>
      </c>
      <c r="C5" s="98" t="s">
        <v>56</v>
      </c>
      <c r="D5" s="96">
        <v>0</v>
      </c>
      <c r="E5" s="99">
        <f>VLOOKUP($C5,RECURSOS!$A:$B,2,0)*D5</f>
        <v>0</v>
      </c>
      <c r="F5" s="96">
        <v>0</v>
      </c>
      <c r="G5" s="99">
        <f>VLOOKUP($C5,RECURSOS!$A:$B,2,0)*F5</f>
        <v>0</v>
      </c>
      <c r="H5" s="96">
        <v>0</v>
      </c>
      <c r="I5" s="99">
        <f>VLOOKUP($C5,RECURSOS!$A:$B,2,0)*H5</f>
        <v>0</v>
      </c>
      <c r="J5" s="96">
        <v>1</v>
      </c>
      <c r="K5" s="99">
        <f>VLOOKUP($C5,RECURSOS!$A:$B,2,0)*J5</f>
        <v>173.86671931818179</v>
      </c>
      <c r="L5" s="96">
        <v>1</v>
      </c>
      <c r="M5" s="99">
        <f>VLOOKUP($C5,RECURSOS!$A:$B,2,0)*L5</f>
        <v>173.86671931818179</v>
      </c>
      <c r="N5" s="96">
        <v>1</v>
      </c>
      <c r="O5" s="99">
        <f>VLOOKUP($C5,RECURSOS!$A:$B,2,0)*N5</f>
        <v>173.86671931818179</v>
      </c>
    </row>
    <row r="6" spans="2:15" x14ac:dyDescent="0.25">
      <c r="B6" s="188"/>
      <c r="C6" s="98" t="s">
        <v>57</v>
      </c>
      <c r="D6" s="96">
        <v>0</v>
      </c>
      <c r="E6" s="99">
        <f>VLOOKUP($C6,RECURSOS!$A:$B,2,0)*D6</f>
        <v>0</v>
      </c>
      <c r="F6" s="96">
        <v>0</v>
      </c>
      <c r="G6" s="99">
        <f>VLOOKUP($C6,RECURSOS!$A:$B,2,0)*F6</f>
        <v>0</v>
      </c>
      <c r="H6" s="96">
        <v>0</v>
      </c>
      <c r="I6" s="99">
        <f>VLOOKUP($C6,RECURSOS!$A:$B,2,0)*H6</f>
        <v>0</v>
      </c>
      <c r="J6" s="96">
        <v>2</v>
      </c>
      <c r="K6" s="99">
        <f>VLOOKUP($C6,RECURSOS!$A:$B,2,0)*J6</f>
        <v>308.5239022727273</v>
      </c>
      <c r="L6" s="96">
        <v>3</v>
      </c>
      <c r="M6" s="99">
        <f>VLOOKUP($C6,RECURSOS!$A:$B,2,0)*L6</f>
        <v>462.78585340909092</v>
      </c>
      <c r="N6" s="96">
        <v>3</v>
      </c>
      <c r="O6" s="99">
        <f>VLOOKUP($C6,RECURSOS!$A:$B,2,0)*N6</f>
        <v>462.78585340909092</v>
      </c>
    </row>
    <row r="7" spans="2:15" x14ac:dyDescent="0.25">
      <c r="B7" s="206" t="s">
        <v>58</v>
      </c>
      <c r="C7" s="95" t="s">
        <v>56</v>
      </c>
      <c r="D7" s="96">
        <v>1</v>
      </c>
      <c r="E7" s="97">
        <f>VLOOKUP($C7,RECURSOS!$A:$B,2,0)*D7</f>
        <v>173.86671931818179</v>
      </c>
      <c r="F7" s="96">
        <v>0</v>
      </c>
      <c r="G7" s="97">
        <f>VLOOKUP($C7,RECURSOS!$A:$B,2,0)*F7</f>
        <v>0</v>
      </c>
      <c r="H7" s="96">
        <v>0</v>
      </c>
      <c r="I7" s="97">
        <f>VLOOKUP($C7,RECURSOS!$A:$B,2,0)*H7</f>
        <v>0</v>
      </c>
      <c r="J7" s="96">
        <v>0</v>
      </c>
      <c r="K7" s="97">
        <f>VLOOKUP($C7,RECURSOS!$A:$B,2,0)*J7</f>
        <v>0</v>
      </c>
      <c r="L7" s="96">
        <v>0</v>
      </c>
      <c r="M7" s="97">
        <f>VLOOKUP($C7,RECURSOS!$A:$B,2,0)*L7</f>
        <v>0</v>
      </c>
      <c r="N7" s="96">
        <v>0</v>
      </c>
      <c r="O7" s="97">
        <f>VLOOKUP($C7,RECURSOS!$A:$B,2,0)*N7</f>
        <v>0</v>
      </c>
    </row>
    <row r="8" spans="2:15" x14ac:dyDescent="0.25">
      <c r="B8" s="206"/>
      <c r="C8" s="95" t="s">
        <v>57</v>
      </c>
      <c r="D8" s="96">
        <v>2</v>
      </c>
      <c r="E8" s="97">
        <f>VLOOKUP($C8,RECURSOS!$A:$B,2,0)*D8</f>
        <v>308.5239022727273</v>
      </c>
      <c r="F8" s="96">
        <v>0</v>
      </c>
      <c r="G8" s="97">
        <f>VLOOKUP($C8,RECURSOS!$A:$B,2,0)*F8</f>
        <v>0</v>
      </c>
      <c r="H8" s="96">
        <v>0</v>
      </c>
      <c r="I8" s="97">
        <f>VLOOKUP($C8,RECURSOS!$A:$B,2,0)*H8</f>
        <v>0</v>
      </c>
      <c r="J8" s="96">
        <v>0</v>
      </c>
      <c r="K8" s="97">
        <f>VLOOKUP($C8,RECURSOS!$A:$B,2,0)*J8</f>
        <v>0</v>
      </c>
      <c r="L8" s="96">
        <v>0</v>
      </c>
      <c r="M8" s="97">
        <f>VLOOKUP($C8,RECURSOS!$A:$B,2,0)*L8</f>
        <v>0</v>
      </c>
      <c r="N8" s="96">
        <v>0</v>
      </c>
      <c r="O8" s="97">
        <f>VLOOKUP($C8,RECURSOS!$A:$B,2,0)*N8</f>
        <v>0</v>
      </c>
    </row>
    <row r="9" spans="2:15" x14ac:dyDescent="0.25">
      <c r="B9" s="188" t="s">
        <v>61</v>
      </c>
      <c r="C9" s="98" t="s">
        <v>56</v>
      </c>
      <c r="D9" s="96">
        <v>0</v>
      </c>
      <c r="E9" s="99">
        <f>VLOOKUP($C9,RECURSOS!$A:$B,2,0)*D9</f>
        <v>0</v>
      </c>
      <c r="F9" s="96">
        <v>1</v>
      </c>
      <c r="G9" s="99">
        <f>VLOOKUP($C9,RECURSOS!$A:$B,2,0)*F9</f>
        <v>173.86671931818179</v>
      </c>
      <c r="H9" s="96">
        <v>1</v>
      </c>
      <c r="I9" s="99">
        <f>VLOOKUP($C9,RECURSOS!$A:$B,2,0)*H9</f>
        <v>173.86671931818179</v>
      </c>
      <c r="J9" s="96">
        <v>1</v>
      </c>
      <c r="K9" s="99">
        <f>VLOOKUP($C9,RECURSOS!$A:$B,2,0)*J9</f>
        <v>173.86671931818179</v>
      </c>
      <c r="L9" s="96">
        <v>1</v>
      </c>
      <c r="M9" s="99">
        <f>VLOOKUP($C9,RECURSOS!$A:$B,2,0)*L9</f>
        <v>173.86671931818179</v>
      </c>
      <c r="N9" s="96">
        <v>1</v>
      </c>
      <c r="O9" s="99">
        <f>VLOOKUP($C9,RECURSOS!$A:$B,2,0)*N9</f>
        <v>173.86671931818179</v>
      </c>
    </row>
    <row r="10" spans="2:15" x14ac:dyDescent="0.25">
      <c r="B10" s="188"/>
      <c r="C10" s="98" t="s">
        <v>57</v>
      </c>
      <c r="D10" s="96">
        <v>0</v>
      </c>
      <c r="E10" s="99">
        <f>VLOOKUP($C10,RECURSOS!$A:$B,2,0)*D10</f>
        <v>0</v>
      </c>
      <c r="F10" s="96">
        <v>4</v>
      </c>
      <c r="G10" s="99">
        <f>VLOOKUP($C10,RECURSOS!$A:$B,2,0)*F10</f>
        <v>617.0478045454546</v>
      </c>
      <c r="H10" s="96">
        <v>4</v>
      </c>
      <c r="I10" s="99">
        <f>VLOOKUP($C10,RECURSOS!$A:$B,2,0)*H10</f>
        <v>617.0478045454546</v>
      </c>
      <c r="J10" s="96">
        <v>5</v>
      </c>
      <c r="K10" s="99">
        <f>VLOOKUP($C10,RECURSOS!$A:$B,2,0)*J10</f>
        <v>771.30975568181827</v>
      </c>
      <c r="L10" s="96">
        <v>6</v>
      </c>
      <c r="M10" s="99">
        <f>VLOOKUP($C10,RECURSOS!$A:$B,2,0)*L10</f>
        <v>925.57170681818184</v>
      </c>
      <c r="N10" s="96">
        <v>5</v>
      </c>
      <c r="O10" s="99">
        <f>VLOOKUP($C10,RECURSOS!$A:$B,2,0)*N10</f>
        <v>771.30975568181827</v>
      </c>
    </row>
    <row r="11" spans="2:15" x14ac:dyDescent="0.25">
      <c r="B11" s="206" t="s">
        <v>62</v>
      </c>
      <c r="C11" s="95" t="s">
        <v>56</v>
      </c>
      <c r="D11" s="96">
        <v>0</v>
      </c>
      <c r="E11" s="97">
        <f>VLOOKUP($C11,RECURSOS!$A:$B,2,0)*D11</f>
        <v>0</v>
      </c>
      <c r="F11" s="96">
        <v>0</v>
      </c>
      <c r="G11" s="97">
        <f>VLOOKUP($C11,RECURSOS!$A:$B,2,0)*F11</f>
        <v>0</v>
      </c>
      <c r="H11" s="96">
        <v>0</v>
      </c>
      <c r="I11" s="97">
        <f>VLOOKUP($C11,RECURSOS!$A:$B,2,0)*H11</f>
        <v>0</v>
      </c>
      <c r="J11" s="96">
        <v>0</v>
      </c>
      <c r="K11" s="97">
        <f>VLOOKUP($C11,RECURSOS!$A:$B,2,0)*J11</f>
        <v>0</v>
      </c>
      <c r="L11" s="96">
        <v>0</v>
      </c>
      <c r="M11" s="97">
        <f>VLOOKUP($C11,RECURSOS!$A:$B,2,0)*L11</f>
        <v>0</v>
      </c>
      <c r="N11" s="96">
        <v>1</v>
      </c>
      <c r="O11" s="97">
        <f>VLOOKUP($C11,RECURSOS!$A:$B,2,0)*N11</f>
        <v>173.86671931818179</v>
      </c>
    </row>
    <row r="12" spans="2:15" x14ac:dyDescent="0.25">
      <c r="B12" s="206"/>
      <c r="C12" s="95" t="s">
        <v>57</v>
      </c>
      <c r="D12" s="96">
        <v>0</v>
      </c>
      <c r="E12" s="97">
        <f>VLOOKUP($C12,RECURSOS!$A:$B,2,0)*D12</f>
        <v>0</v>
      </c>
      <c r="F12" s="96">
        <v>0</v>
      </c>
      <c r="G12" s="97">
        <f>VLOOKUP($C12,RECURSOS!$A:$B,2,0)*F12</f>
        <v>0</v>
      </c>
      <c r="H12" s="96">
        <v>0</v>
      </c>
      <c r="I12" s="97">
        <f>VLOOKUP($C12,RECURSOS!$A:$B,2,0)*H12</f>
        <v>0</v>
      </c>
      <c r="J12" s="96">
        <v>0</v>
      </c>
      <c r="K12" s="97">
        <f>VLOOKUP($C12,RECURSOS!$A:$B,2,0)*J12</f>
        <v>0</v>
      </c>
      <c r="L12" s="96">
        <v>0</v>
      </c>
      <c r="M12" s="97">
        <f>VLOOKUP($C12,RECURSOS!$A:$B,2,0)*L12</f>
        <v>0</v>
      </c>
      <c r="N12" s="96">
        <v>5</v>
      </c>
      <c r="O12" s="97">
        <f>VLOOKUP($C12,RECURSOS!$A:$B,2,0)*N12</f>
        <v>771.30975568181827</v>
      </c>
    </row>
    <row r="13" spans="2:15" x14ac:dyDescent="0.25">
      <c r="B13" s="117"/>
      <c r="C13" s="103"/>
      <c r="D13" s="103"/>
      <c r="E13" s="118">
        <f>SUM(E3:E12)</f>
        <v>482.39062159090906</v>
      </c>
      <c r="F13" s="116"/>
      <c r="G13" s="118">
        <f>SUM(G3:G12)</f>
        <v>1273.3051454545455</v>
      </c>
      <c r="H13" s="116"/>
      <c r="I13" s="118">
        <f>SUM(I3:I12)</f>
        <v>1427.5670965909092</v>
      </c>
      <c r="J13" s="116"/>
      <c r="K13" s="118">
        <f>SUM(K3:K12)</f>
        <v>1909.9577181818181</v>
      </c>
      <c r="L13" s="116"/>
      <c r="M13" s="118">
        <f>SUM(M3:M12)</f>
        <v>2372.7435715909091</v>
      </c>
      <c r="N13" s="116"/>
      <c r="O13" s="118">
        <f>SUM(O3:O12)</f>
        <v>3163.6580954545457</v>
      </c>
    </row>
  </sheetData>
  <mergeCells count="11">
    <mergeCell ref="N2:O2"/>
    <mergeCell ref="B11:B12"/>
    <mergeCell ref="F2:G2"/>
    <mergeCell ref="H2:I2"/>
    <mergeCell ref="J2:K2"/>
    <mergeCell ref="L2:M2"/>
    <mergeCell ref="D2:E2"/>
    <mergeCell ref="B3:B4"/>
    <mergeCell ref="B9:B10"/>
    <mergeCell ref="B7:B8"/>
    <mergeCell ref="B5:B6"/>
  </mergeCells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B2:O33"/>
  <sheetViews>
    <sheetView showGridLines="0" workbookViewId="0">
      <pane xSplit="2" ySplit="2" topLeftCell="C3" activePane="bottomRight" state="frozen"/>
      <selection activeCell="K22" sqref="K22"/>
      <selection pane="topRight" activeCell="K22" sqref="K22"/>
      <selection pane="bottomLeft" activeCell="K22" sqref="K22"/>
      <selection pane="bottomRight" activeCell="K22" sqref="K22"/>
    </sheetView>
  </sheetViews>
  <sheetFormatPr defaultColWidth="9.140625" defaultRowHeight="15" x14ac:dyDescent="0.25"/>
  <cols>
    <col min="1" max="1" width="3.7109375" style="12" customWidth="1"/>
    <col min="2" max="2" width="40.42578125" style="12" customWidth="1"/>
    <col min="3" max="3" width="10.28515625" style="12" customWidth="1"/>
    <col min="4" max="4" width="5" style="12" bestFit="1" customWidth="1"/>
    <col min="5" max="5" width="10.28515625" style="12" bestFit="1" customWidth="1"/>
    <col min="6" max="6" width="5" style="12" bestFit="1" customWidth="1"/>
    <col min="7" max="7" width="10.28515625" style="12" bestFit="1" customWidth="1"/>
    <col min="8" max="8" width="5" style="12" bestFit="1" customWidth="1"/>
    <col min="9" max="9" width="11.85546875" style="12" bestFit="1" customWidth="1"/>
    <col min="10" max="10" width="5" style="12" bestFit="1" customWidth="1"/>
    <col min="11" max="11" width="11.85546875" style="12" bestFit="1" customWidth="1"/>
    <col min="12" max="12" width="5" style="12" bestFit="1" customWidth="1"/>
    <col min="13" max="13" width="11.85546875" style="12" bestFit="1" customWidth="1"/>
    <col min="14" max="14" width="5" style="12" bestFit="1" customWidth="1"/>
    <col min="15" max="15" width="11.85546875" style="12" bestFit="1" customWidth="1"/>
    <col min="16" max="16384" width="9.140625" style="12"/>
  </cols>
  <sheetData>
    <row r="2" spans="2:15" x14ac:dyDescent="0.25">
      <c r="B2" s="115" t="s">
        <v>118</v>
      </c>
      <c r="C2" s="116" t="s">
        <v>19</v>
      </c>
      <c r="D2" s="207">
        <v>15</v>
      </c>
      <c r="E2" s="207"/>
      <c r="F2" s="207">
        <v>30</v>
      </c>
      <c r="G2" s="207"/>
      <c r="H2" s="207">
        <v>45</v>
      </c>
      <c r="I2" s="207"/>
      <c r="J2" s="207">
        <v>60</v>
      </c>
      <c r="K2" s="207"/>
      <c r="L2" s="207">
        <v>75</v>
      </c>
      <c r="M2" s="207"/>
      <c r="N2" s="207">
        <v>90</v>
      </c>
      <c r="O2" s="207"/>
    </row>
    <row r="3" spans="2:15" x14ac:dyDescent="0.25">
      <c r="B3" s="208" t="s">
        <v>59</v>
      </c>
      <c r="C3" s="105" t="s">
        <v>3</v>
      </c>
      <c r="D3" s="96">
        <v>0</v>
      </c>
      <c r="E3" s="97">
        <f>VLOOKUP($C3,FROTA!$B$58:$G$63,6,0)*D3</f>
        <v>0</v>
      </c>
      <c r="F3" s="96">
        <v>1</v>
      </c>
      <c r="G3" s="97">
        <f>VLOOKUP($C3,FROTA!$B$58:$G$63,6,0)*F3</f>
        <v>333.33994782608693</v>
      </c>
      <c r="H3" s="96">
        <v>0</v>
      </c>
      <c r="I3" s="97">
        <f>VLOOKUP($C3,FROTA!$B$58:$G$63,6,0)*H3</f>
        <v>0</v>
      </c>
      <c r="J3" s="96">
        <v>1</v>
      </c>
      <c r="K3" s="97">
        <f>VLOOKUP($C3,FROTA!$B$58:$G$63,6,0)*J3</f>
        <v>333.33994782608693</v>
      </c>
      <c r="L3" s="96">
        <v>0</v>
      </c>
      <c r="M3" s="97">
        <f>VLOOKUP($C3,FROTA!$B$58:$G$63,6,0)*L3</f>
        <v>0</v>
      </c>
      <c r="N3" s="96">
        <v>0</v>
      </c>
      <c r="O3" s="97">
        <f>VLOOKUP($C3,FROTA!$B$58:$G$63,6,0)*N3</f>
        <v>0</v>
      </c>
    </row>
    <row r="4" spans="2:15" x14ac:dyDescent="0.25">
      <c r="B4" s="208"/>
      <c r="C4" s="105" t="s">
        <v>4</v>
      </c>
      <c r="D4" s="96">
        <v>0</v>
      </c>
      <c r="E4" s="97">
        <f>VLOOKUP($C4,FROTA!$B$58:$G$63,6,0)*D4</f>
        <v>0</v>
      </c>
      <c r="F4" s="96">
        <v>0</v>
      </c>
      <c r="G4" s="97">
        <f>VLOOKUP($C4,FROTA!$B$58:$G$63,6,0)*F4</f>
        <v>0</v>
      </c>
      <c r="H4" s="96">
        <v>1</v>
      </c>
      <c r="I4" s="97">
        <f>VLOOKUP($C4,FROTA!$B$58:$G$63,6,0)*H4</f>
        <v>424.46344782608696</v>
      </c>
      <c r="J4" s="96">
        <v>0</v>
      </c>
      <c r="K4" s="97">
        <f>VLOOKUP($C4,FROTA!$B$58:$G$63,6,0)*J4</f>
        <v>0</v>
      </c>
      <c r="L4" s="96">
        <v>1</v>
      </c>
      <c r="M4" s="97">
        <f>VLOOKUP($C4,FROTA!$B$58:$G$63,6,0)*L4</f>
        <v>424.46344782608696</v>
      </c>
      <c r="N4" s="96">
        <v>1</v>
      </c>
      <c r="O4" s="97">
        <f>VLOOKUP($C4,FROTA!$B$58:$G$63,6,0)*N4</f>
        <v>424.46344782608696</v>
      </c>
    </row>
    <row r="5" spans="2:15" x14ac:dyDescent="0.25">
      <c r="B5" s="208"/>
      <c r="C5" s="105" t="s">
        <v>5</v>
      </c>
      <c r="D5" s="96">
        <v>0</v>
      </c>
      <c r="E5" s="97">
        <f>VLOOKUP($C5,FROTA!$B$58:$G$63,6,0)*D5</f>
        <v>0</v>
      </c>
      <c r="F5" s="96">
        <v>0</v>
      </c>
      <c r="G5" s="97">
        <f>VLOOKUP($C5,FROTA!$B$58:$G$63,6,0)*F5</f>
        <v>0</v>
      </c>
      <c r="H5" s="96">
        <v>0</v>
      </c>
      <c r="I5" s="97">
        <f>VLOOKUP($C5,FROTA!$B$58:$G$63,6,0)*H5</f>
        <v>0</v>
      </c>
      <c r="J5" s="96">
        <v>0</v>
      </c>
      <c r="K5" s="97">
        <f>VLOOKUP($C5,FROTA!$B$58:$G$63,6,0)*J5</f>
        <v>0</v>
      </c>
      <c r="L5" s="96">
        <v>0</v>
      </c>
      <c r="M5" s="97">
        <f>VLOOKUP($C5,FROTA!$B$58:$G$63,6,0)*L5</f>
        <v>0</v>
      </c>
      <c r="N5" s="96">
        <v>0</v>
      </c>
      <c r="O5" s="97">
        <f>VLOOKUP($C5,FROTA!$B$58:$G$63,6,0)*N5</f>
        <v>0</v>
      </c>
    </row>
    <row r="6" spans="2:15" x14ac:dyDescent="0.25">
      <c r="B6" s="208"/>
      <c r="C6" s="105" t="s">
        <v>6</v>
      </c>
      <c r="D6" s="96">
        <v>0</v>
      </c>
      <c r="E6" s="97">
        <f>VLOOKUP($C6,FROTA!$B$58:$G$63,6,0)*D6</f>
        <v>0</v>
      </c>
      <c r="F6" s="96">
        <v>0</v>
      </c>
      <c r="G6" s="97">
        <f>VLOOKUP($C6,FROTA!$B$58:$G$63,6,0)*F6</f>
        <v>0</v>
      </c>
      <c r="H6" s="96">
        <v>0</v>
      </c>
      <c r="I6" s="97">
        <f>VLOOKUP($C6,FROTA!$B$58:$G$63,6,0)*H6</f>
        <v>0</v>
      </c>
      <c r="J6" s="96">
        <v>0</v>
      </c>
      <c r="K6" s="97">
        <f>VLOOKUP($C6,FROTA!$B$58:$G$63,6,0)*J6</f>
        <v>0</v>
      </c>
      <c r="L6" s="96">
        <v>0</v>
      </c>
      <c r="M6" s="97">
        <f>VLOOKUP($C6,FROTA!$B$58:$G$63,6,0)*L6</f>
        <v>0</v>
      </c>
      <c r="N6" s="96">
        <v>0</v>
      </c>
      <c r="O6" s="97">
        <f>VLOOKUP($C6,FROTA!$B$58:$G$63,6,0)*N6</f>
        <v>0</v>
      </c>
    </row>
    <row r="7" spans="2:15" x14ac:dyDescent="0.25">
      <c r="B7" s="208"/>
      <c r="C7" s="105" t="s">
        <v>7</v>
      </c>
      <c r="D7" s="96">
        <v>0</v>
      </c>
      <c r="E7" s="97">
        <f>VLOOKUP($C7,FROTA!$B$58:$G$63,6,0)*D7</f>
        <v>0</v>
      </c>
      <c r="F7" s="96">
        <v>0</v>
      </c>
      <c r="G7" s="97">
        <f>VLOOKUP($C7,FROTA!$B$58:$G$63,6,0)*F7</f>
        <v>0</v>
      </c>
      <c r="H7" s="96">
        <v>0</v>
      </c>
      <c r="I7" s="97">
        <f>VLOOKUP($C7,FROTA!$B$58:$G$63,6,0)*H7</f>
        <v>0</v>
      </c>
      <c r="J7" s="96">
        <v>0</v>
      </c>
      <c r="K7" s="97">
        <f>VLOOKUP($C7,FROTA!$B$58:$G$63,6,0)*J7</f>
        <v>0</v>
      </c>
      <c r="L7" s="96">
        <v>0</v>
      </c>
      <c r="M7" s="97">
        <f>VLOOKUP($C7,FROTA!$B$58:$G$63,6,0)*L7</f>
        <v>0</v>
      </c>
      <c r="N7" s="96">
        <v>0</v>
      </c>
      <c r="O7" s="97">
        <f>VLOOKUP($C7,FROTA!$B$58:$G$63,6,0)*N7</f>
        <v>0</v>
      </c>
    </row>
    <row r="8" spans="2:15" x14ac:dyDescent="0.25">
      <c r="B8" s="208"/>
      <c r="C8" s="105" t="s">
        <v>8</v>
      </c>
      <c r="D8" s="96">
        <v>0</v>
      </c>
      <c r="E8" s="97">
        <f>VLOOKUP($C8,FROTA!$B$58:$G$63,6,0)*D8</f>
        <v>0</v>
      </c>
      <c r="F8" s="96">
        <v>0</v>
      </c>
      <c r="G8" s="97">
        <f>VLOOKUP($C8,FROTA!$B$58:$G$63,6,0)*F8</f>
        <v>0</v>
      </c>
      <c r="H8" s="96">
        <v>0</v>
      </c>
      <c r="I8" s="97">
        <f>VLOOKUP($C8,FROTA!$B$58:$G$63,6,0)*H8</f>
        <v>0</v>
      </c>
      <c r="J8" s="96">
        <v>0</v>
      </c>
      <c r="K8" s="97">
        <f>VLOOKUP($C8,FROTA!$B$58:$G$63,6,0)*J8</f>
        <v>0</v>
      </c>
      <c r="L8" s="96">
        <v>0</v>
      </c>
      <c r="M8" s="97">
        <f>VLOOKUP($C8,FROTA!$B$58:$G$63,6,0)*L8</f>
        <v>0</v>
      </c>
      <c r="N8" s="96">
        <v>0</v>
      </c>
      <c r="O8" s="97">
        <f>VLOOKUP($C8,FROTA!$B$58:$G$63,6,0)*N8</f>
        <v>0</v>
      </c>
    </row>
    <row r="9" spans="2:15" x14ac:dyDescent="0.25">
      <c r="B9" s="209" t="s">
        <v>60</v>
      </c>
      <c r="C9" s="103" t="s">
        <v>3</v>
      </c>
      <c r="D9" s="96">
        <v>0</v>
      </c>
      <c r="E9" s="99">
        <f>VLOOKUP($C9,FROTA!$B$58:$G$63,6,0)*D9</f>
        <v>0</v>
      </c>
      <c r="F9" s="96">
        <v>0</v>
      </c>
      <c r="G9" s="99">
        <f>VLOOKUP($C9,FROTA!$B$58:$G$63,6,0)*F9</f>
        <v>0</v>
      </c>
      <c r="H9" s="96">
        <v>0</v>
      </c>
      <c r="I9" s="99">
        <f>VLOOKUP($C9,FROTA!$B$58:$G$63,6,0)*H9</f>
        <v>0</v>
      </c>
      <c r="J9" s="96">
        <v>1</v>
      </c>
      <c r="K9" s="99">
        <f>VLOOKUP($C9,FROTA!$B$58:$G$63,6,0)*J9</f>
        <v>333.33994782608693</v>
      </c>
      <c r="L9" s="96">
        <v>0</v>
      </c>
      <c r="M9" s="99">
        <f>VLOOKUP($C9,FROTA!$B$58:$G$63,6,0)*L9</f>
        <v>0</v>
      </c>
      <c r="N9" s="96">
        <v>0</v>
      </c>
      <c r="O9" s="99">
        <f>VLOOKUP($C9,FROTA!$B$58:$G$63,6,0)*N9</f>
        <v>0</v>
      </c>
    </row>
    <row r="10" spans="2:15" x14ac:dyDescent="0.25">
      <c r="B10" s="209"/>
      <c r="C10" s="103" t="s">
        <v>4</v>
      </c>
      <c r="D10" s="96">
        <v>0</v>
      </c>
      <c r="E10" s="99">
        <f>VLOOKUP($C10,FROTA!$B$58:$G$63,6,0)*D10</f>
        <v>0</v>
      </c>
      <c r="F10" s="96">
        <v>0</v>
      </c>
      <c r="G10" s="99">
        <f>VLOOKUP($C10,FROTA!$B$58:$G$63,6,0)*F10</f>
        <v>0</v>
      </c>
      <c r="H10" s="96">
        <v>0</v>
      </c>
      <c r="I10" s="99">
        <f>VLOOKUP($C10,FROTA!$B$58:$G$63,6,0)*H10</f>
        <v>0</v>
      </c>
      <c r="J10" s="96">
        <v>0</v>
      </c>
      <c r="K10" s="99">
        <f>VLOOKUP($C10,FROTA!$B$58:$G$63,6,0)*J10</f>
        <v>0</v>
      </c>
      <c r="L10" s="96">
        <v>1</v>
      </c>
      <c r="M10" s="99">
        <f>VLOOKUP($C10,FROTA!$B$58:$G$63,6,0)*L10</f>
        <v>424.46344782608696</v>
      </c>
      <c r="N10" s="96">
        <v>1</v>
      </c>
      <c r="O10" s="99">
        <f>VLOOKUP($C10,FROTA!$B$58:$G$63,6,0)*N10</f>
        <v>424.46344782608696</v>
      </c>
    </row>
    <row r="11" spans="2:15" x14ac:dyDescent="0.25">
      <c r="B11" s="209"/>
      <c r="C11" s="103" t="s">
        <v>5</v>
      </c>
      <c r="D11" s="96">
        <v>0</v>
      </c>
      <c r="E11" s="99">
        <f>VLOOKUP($C11,FROTA!$B$58:$G$63,6,0)*D11</f>
        <v>0</v>
      </c>
      <c r="F11" s="96">
        <v>0</v>
      </c>
      <c r="G11" s="99">
        <f>VLOOKUP($C11,FROTA!$B$58:$G$63,6,0)*F11</f>
        <v>0</v>
      </c>
      <c r="H11" s="96">
        <v>0</v>
      </c>
      <c r="I11" s="99">
        <f>VLOOKUP($C11,FROTA!$B$58:$G$63,6,0)*H11</f>
        <v>0</v>
      </c>
      <c r="J11" s="96">
        <v>0</v>
      </c>
      <c r="K11" s="99">
        <f>VLOOKUP($C11,FROTA!$B$58:$G$63,6,0)*J11</f>
        <v>0</v>
      </c>
      <c r="L11" s="96">
        <v>0</v>
      </c>
      <c r="M11" s="99">
        <f>VLOOKUP($C11,FROTA!$B$58:$G$63,6,0)*L11</f>
        <v>0</v>
      </c>
      <c r="N11" s="96">
        <v>0</v>
      </c>
      <c r="O11" s="99">
        <f>VLOOKUP($C11,FROTA!$B$58:$G$63,6,0)*N11</f>
        <v>0</v>
      </c>
    </row>
    <row r="12" spans="2:15" x14ac:dyDescent="0.25">
      <c r="B12" s="209"/>
      <c r="C12" s="103" t="s">
        <v>6</v>
      </c>
      <c r="D12" s="96">
        <v>0</v>
      </c>
      <c r="E12" s="99">
        <f>VLOOKUP($C12,FROTA!$B$58:$G$63,6,0)*D12</f>
        <v>0</v>
      </c>
      <c r="F12" s="96">
        <v>0</v>
      </c>
      <c r="G12" s="99">
        <f>VLOOKUP($C12,FROTA!$B$58:$G$63,6,0)*F12</f>
        <v>0</v>
      </c>
      <c r="H12" s="96">
        <v>0</v>
      </c>
      <c r="I12" s="99">
        <f>VLOOKUP($C12,FROTA!$B$58:$G$63,6,0)*H12</f>
        <v>0</v>
      </c>
      <c r="J12" s="96">
        <v>0</v>
      </c>
      <c r="K12" s="99">
        <f>VLOOKUP($C12,FROTA!$B$58:$G$63,6,0)*J12</f>
        <v>0</v>
      </c>
      <c r="L12" s="96">
        <v>0</v>
      </c>
      <c r="M12" s="99">
        <f>VLOOKUP($C12,FROTA!$B$58:$G$63,6,0)*L12</f>
        <v>0</v>
      </c>
      <c r="N12" s="96">
        <v>0</v>
      </c>
      <c r="O12" s="99">
        <f>VLOOKUP($C12,FROTA!$B$58:$G$63,6,0)*N12</f>
        <v>0</v>
      </c>
    </row>
    <row r="13" spans="2:15" x14ac:dyDescent="0.25">
      <c r="B13" s="209"/>
      <c r="C13" s="103" t="s">
        <v>7</v>
      </c>
      <c r="D13" s="96">
        <v>0</v>
      </c>
      <c r="E13" s="99">
        <f>VLOOKUP($C13,FROTA!$B$58:$G$63,6,0)*D13</f>
        <v>0</v>
      </c>
      <c r="F13" s="96">
        <v>0</v>
      </c>
      <c r="G13" s="99">
        <f>VLOOKUP($C13,FROTA!$B$58:$G$63,6,0)*F13</f>
        <v>0</v>
      </c>
      <c r="H13" s="96">
        <v>0</v>
      </c>
      <c r="I13" s="99">
        <f>VLOOKUP($C13,FROTA!$B$58:$G$63,6,0)*H13</f>
        <v>0</v>
      </c>
      <c r="J13" s="96">
        <v>0</v>
      </c>
      <c r="K13" s="99">
        <f>VLOOKUP($C13,FROTA!$B$58:$G$63,6,0)*J13</f>
        <v>0</v>
      </c>
      <c r="L13" s="96">
        <v>0</v>
      </c>
      <c r="M13" s="99">
        <f>VLOOKUP($C13,FROTA!$B$58:$G$63,6,0)*L13</f>
        <v>0</v>
      </c>
      <c r="N13" s="96">
        <v>0</v>
      </c>
      <c r="O13" s="99">
        <f>VLOOKUP($C13,FROTA!$B$58:$G$63,6,0)*N13</f>
        <v>0</v>
      </c>
    </row>
    <row r="14" spans="2:15" x14ac:dyDescent="0.25">
      <c r="B14" s="209"/>
      <c r="C14" s="103" t="s">
        <v>8</v>
      </c>
      <c r="D14" s="96">
        <v>0</v>
      </c>
      <c r="E14" s="99">
        <f>VLOOKUP($C14,FROTA!$B$58:$G$63,6,0)*D14</f>
        <v>0</v>
      </c>
      <c r="F14" s="96">
        <v>0</v>
      </c>
      <c r="G14" s="99">
        <f>VLOOKUP($C14,FROTA!$B$58:$G$63,6,0)*F14</f>
        <v>0</v>
      </c>
      <c r="H14" s="96">
        <v>0</v>
      </c>
      <c r="I14" s="99">
        <f>VLOOKUP($C14,FROTA!$B$58:$G$63,6,0)*H14</f>
        <v>0</v>
      </c>
      <c r="J14" s="96">
        <v>0</v>
      </c>
      <c r="K14" s="99">
        <f>VLOOKUP($C14,FROTA!$B$58:$G$63,6,0)*J14</f>
        <v>0</v>
      </c>
      <c r="L14" s="96">
        <v>0</v>
      </c>
      <c r="M14" s="99">
        <f>VLOOKUP($C14,FROTA!$B$58:$G$63,6,0)*L14</f>
        <v>0</v>
      </c>
      <c r="N14" s="96">
        <v>0</v>
      </c>
      <c r="O14" s="99">
        <f>VLOOKUP($C14,FROTA!$B$58:$G$63,6,0)*N14</f>
        <v>0</v>
      </c>
    </row>
    <row r="15" spans="2:15" x14ac:dyDescent="0.25">
      <c r="B15" s="208" t="s">
        <v>58</v>
      </c>
      <c r="C15" s="105" t="s">
        <v>3</v>
      </c>
      <c r="D15" s="96">
        <v>0</v>
      </c>
      <c r="E15" s="97">
        <f>VLOOKUP($C15,FROTA!$B$58:$G$63,6,0)*D15</f>
        <v>0</v>
      </c>
      <c r="F15" s="96">
        <v>0</v>
      </c>
      <c r="G15" s="97">
        <f>VLOOKUP($C15,FROTA!$B$58:$G$63,6,0)*F15</f>
        <v>0</v>
      </c>
      <c r="H15" s="96">
        <v>0</v>
      </c>
      <c r="I15" s="97">
        <f>VLOOKUP($C15,FROTA!$B$58:$G$63,6,0)*H15</f>
        <v>0</v>
      </c>
      <c r="J15" s="96">
        <v>0</v>
      </c>
      <c r="K15" s="97">
        <f>VLOOKUP($C15,FROTA!$B$58:$G$63,6,0)*J15</f>
        <v>0</v>
      </c>
      <c r="L15" s="96">
        <v>0</v>
      </c>
      <c r="M15" s="97">
        <f>VLOOKUP($C15,FROTA!$B$58:$G$63,6,0)*L15</f>
        <v>0</v>
      </c>
      <c r="N15" s="96">
        <v>0</v>
      </c>
      <c r="O15" s="97">
        <f>VLOOKUP($C15,FROTA!$B$58:$G$63,6,0)*N15</f>
        <v>0</v>
      </c>
    </row>
    <row r="16" spans="2:15" x14ac:dyDescent="0.25">
      <c r="B16" s="208"/>
      <c r="C16" s="105" t="s">
        <v>4</v>
      </c>
      <c r="D16" s="96">
        <v>0</v>
      </c>
      <c r="E16" s="97">
        <f>VLOOKUP($C16,FROTA!$B$58:$G$63,6,0)*D16</f>
        <v>0</v>
      </c>
      <c r="F16" s="96">
        <v>0</v>
      </c>
      <c r="G16" s="97">
        <f>VLOOKUP($C16,FROTA!$B$58:$G$63,6,0)*F16</f>
        <v>0</v>
      </c>
      <c r="H16" s="96">
        <v>0</v>
      </c>
      <c r="I16" s="97">
        <f>VLOOKUP($C16,FROTA!$B$58:$G$63,6,0)*H16</f>
        <v>0</v>
      </c>
      <c r="J16" s="96">
        <v>0</v>
      </c>
      <c r="K16" s="97">
        <f>VLOOKUP($C16,FROTA!$B$58:$G$63,6,0)*J16</f>
        <v>0</v>
      </c>
      <c r="L16" s="96">
        <v>0</v>
      </c>
      <c r="M16" s="97">
        <f>VLOOKUP($C16,FROTA!$B$58:$G$63,6,0)*L16</f>
        <v>0</v>
      </c>
      <c r="N16" s="96">
        <v>0</v>
      </c>
      <c r="O16" s="97">
        <f>VLOOKUP($C16,FROTA!$B$58:$G$63,6,0)*N16</f>
        <v>0</v>
      </c>
    </row>
    <row r="17" spans="2:15" x14ac:dyDescent="0.25">
      <c r="B17" s="208"/>
      <c r="C17" s="105" t="s">
        <v>5</v>
      </c>
      <c r="D17" s="96">
        <v>1</v>
      </c>
      <c r="E17" s="97">
        <f>VLOOKUP($C17,FROTA!$B$58:$G$63,6,0)*D17</f>
        <v>482.98856237154155</v>
      </c>
      <c r="F17" s="96">
        <v>1</v>
      </c>
      <c r="G17" s="97">
        <f>VLOOKUP($C17,FROTA!$B$58:$G$63,6,0)*F17</f>
        <v>482.98856237154155</v>
      </c>
      <c r="H17" s="96">
        <v>0</v>
      </c>
      <c r="I17" s="97">
        <f>VLOOKUP($C17,FROTA!$B$58:$G$63,6,0)*H17</f>
        <v>0</v>
      </c>
      <c r="J17" s="96">
        <v>0</v>
      </c>
      <c r="K17" s="97">
        <f>VLOOKUP($C17,FROTA!$B$58:$G$63,6,0)*J17</f>
        <v>0</v>
      </c>
      <c r="L17" s="96">
        <v>0</v>
      </c>
      <c r="M17" s="97">
        <f>VLOOKUP($C17,FROTA!$B$58:$G$63,6,0)*L17</f>
        <v>0</v>
      </c>
      <c r="N17" s="96">
        <v>0</v>
      </c>
      <c r="O17" s="97">
        <f>VLOOKUP($C17,FROTA!$B$58:$G$63,6,0)*N17</f>
        <v>0</v>
      </c>
    </row>
    <row r="18" spans="2:15" x14ac:dyDescent="0.25">
      <c r="B18" s="208"/>
      <c r="C18" s="105" t="s">
        <v>6</v>
      </c>
      <c r="D18" s="96">
        <v>0</v>
      </c>
      <c r="E18" s="97">
        <f>VLOOKUP($C18,FROTA!$B$58:$G$63,6,0)*D18</f>
        <v>0</v>
      </c>
      <c r="F18" s="96">
        <v>0</v>
      </c>
      <c r="G18" s="97">
        <f>VLOOKUP($C18,FROTA!$B$58:$G$63,6,0)*F18</f>
        <v>0</v>
      </c>
      <c r="H18" s="96">
        <v>1</v>
      </c>
      <c r="I18" s="97">
        <f>VLOOKUP($C18,FROTA!$B$58:$G$63,6,0)*H18</f>
        <v>463.99894796028605</v>
      </c>
      <c r="J18" s="96">
        <v>0</v>
      </c>
      <c r="K18" s="97">
        <f>VLOOKUP($C18,FROTA!$B$58:$G$63,6,0)*J18</f>
        <v>0</v>
      </c>
      <c r="L18" s="96">
        <v>0</v>
      </c>
      <c r="M18" s="97">
        <f>VLOOKUP($C18,FROTA!$B$58:$G$63,6,0)*L18</f>
        <v>0</v>
      </c>
      <c r="N18" s="96">
        <v>0</v>
      </c>
      <c r="O18" s="97">
        <f>VLOOKUP($C18,FROTA!$B$58:$G$63,6,0)*N18</f>
        <v>0</v>
      </c>
    </row>
    <row r="19" spans="2:15" x14ac:dyDescent="0.25">
      <c r="B19" s="208"/>
      <c r="C19" s="105" t="s">
        <v>7</v>
      </c>
      <c r="D19" s="96">
        <v>0</v>
      </c>
      <c r="E19" s="97">
        <f>VLOOKUP($C19,FROTA!$B$58:$G$63,6,0)*D19</f>
        <v>0</v>
      </c>
      <c r="F19" s="96">
        <v>0</v>
      </c>
      <c r="G19" s="97">
        <f>VLOOKUP($C19,FROTA!$B$58:$G$63,6,0)*F19</f>
        <v>0</v>
      </c>
      <c r="H19" s="96">
        <v>0</v>
      </c>
      <c r="I19" s="97">
        <f>VLOOKUP($C19,FROTA!$B$58:$G$63,6,0)*H19</f>
        <v>0</v>
      </c>
      <c r="J19" s="96">
        <v>0</v>
      </c>
      <c r="K19" s="97">
        <f>VLOOKUP($C19,FROTA!$B$58:$G$63,6,0)*J19</f>
        <v>0</v>
      </c>
      <c r="L19" s="96">
        <v>0</v>
      </c>
      <c r="M19" s="97">
        <f>VLOOKUP($C19,FROTA!$B$58:$G$63,6,0)*L19</f>
        <v>0</v>
      </c>
      <c r="N19" s="96">
        <v>0</v>
      </c>
      <c r="O19" s="97">
        <f>VLOOKUP($C19,FROTA!$B$58:$G$63,6,0)*N19</f>
        <v>0</v>
      </c>
    </row>
    <row r="20" spans="2:15" x14ac:dyDescent="0.25">
      <c r="B20" s="208"/>
      <c r="C20" s="105" t="s">
        <v>8</v>
      </c>
      <c r="D20" s="96">
        <v>0</v>
      </c>
      <c r="E20" s="97">
        <f>VLOOKUP($C20,FROTA!$B$58:$G$63,6,0)*D20</f>
        <v>0</v>
      </c>
      <c r="F20" s="96">
        <v>0</v>
      </c>
      <c r="G20" s="97">
        <f>VLOOKUP($C20,FROTA!$B$58:$G$63,6,0)*F20</f>
        <v>0</v>
      </c>
      <c r="H20" s="96">
        <v>0</v>
      </c>
      <c r="I20" s="97">
        <f>VLOOKUP($C20,FROTA!$B$58:$G$63,6,0)*H20</f>
        <v>0</v>
      </c>
      <c r="J20" s="96">
        <v>0</v>
      </c>
      <c r="K20" s="97">
        <f>VLOOKUP($C20,FROTA!$B$58:$G$63,6,0)*J20</f>
        <v>0</v>
      </c>
      <c r="L20" s="96">
        <v>0</v>
      </c>
      <c r="M20" s="97">
        <f>VLOOKUP($C20,FROTA!$B$58:$G$63,6,0)*L20</f>
        <v>0</v>
      </c>
      <c r="N20" s="96">
        <v>0</v>
      </c>
      <c r="O20" s="97">
        <f>VLOOKUP($C20,FROTA!$B$58:$G$63,6,0)*N20</f>
        <v>0</v>
      </c>
    </row>
    <row r="21" spans="2:15" x14ac:dyDescent="0.25">
      <c r="B21" s="209" t="s">
        <v>61</v>
      </c>
      <c r="C21" s="103" t="s">
        <v>3</v>
      </c>
      <c r="D21" s="96">
        <v>0</v>
      </c>
      <c r="E21" s="99">
        <f>VLOOKUP($C21,FROTA!$B$58:$G$63,6,0)*D21</f>
        <v>0</v>
      </c>
      <c r="F21" s="96">
        <v>0</v>
      </c>
      <c r="G21" s="99">
        <f>VLOOKUP($C21,FROTA!$B$58:$G$63,6,0)*F21</f>
        <v>0</v>
      </c>
      <c r="H21" s="96">
        <v>0</v>
      </c>
      <c r="I21" s="99">
        <f>VLOOKUP($C21,FROTA!$B$58:$G$63,6,0)*H21</f>
        <v>0</v>
      </c>
      <c r="J21" s="96">
        <v>0</v>
      </c>
      <c r="K21" s="99">
        <f>VLOOKUP($C21,FROTA!$B$58:$G$63,6,0)*J21</f>
        <v>0</v>
      </c>
      <c r="L21" s="96">
        <v>0</v>
      </c>
      <c r="M21" s="99">
        <f>VLOOKUP($C21,FROTA!$B$58:$G$63,6,0)*L21</f>
        <v>0</v>
      </c>
      <c r="N21" s="96">
        <v>0</v>
      </c>
      <c r="O21" s="99">
        <f>VLOOKUP($C21,FROTA!$B$58:$G$63,6,0)*N21</f>
        <v>0</v>
      </c>
    </row>
    <row r="22" spans="2:15" x14ac:dyDescent="0.25">
      <c r="B22" s="209"/>
      <c r="C22" s="103" t="s">
        <v>4</v>
      </c>
      <c r="D22" s="96">
        <v>0</v>
      </c>
      <c r="E22" s="99">
        <f>VLOOKUP($C22,FROTA!$B$58:$G$63,6,0)*D22</f>
        <v>0</v>
      </c>
      <c r="F22" s="96">
        <v>0</v>
      </c>
      <c r="G22" s="99">
        <f>VLOOKUP($C22,FROTA!$B$58:$G$63,6,0)*F22</f>
        <v>0</v>
      </c>
      <c r="H22" s="96">
        <v>0</v>
      </c>
      <c r="I22" s="99">
        <f>VLOOKUP($C22,FROTA!$B$58:$G$63,6,0)*H22</f>
        <v>0</v>
      </c>
      <c r="J22" s="96">
        <v>0</v>
      </c>
      <c r="K22" s="99">
        <f>VLOOKUP($C22,FROTA!$B$58:$G$63,6,0)*J22</f>
        <v>0</v>
      </c>
      <c r="L22" s="96">
        <v>0</v>
      </c>
      <c r="M22" s="99">
        <f>VLOOKUP($C22,FROTA!$B$58:$G$63,6,0)*L22</f>
        <v>0</v>
      </c>
      <c r="N22" s="96">
        <v>0</v>
      </c>
      <c r="O22" s="99">
        <f>VLOOKUP($C22,FROTA!$B$58:$G$63,6,0)*N22</f>
        <v>0</v>
      </c>
    </row>
    <row r="23" spans="2:15" x14ac:dyDescent="0.25">
      <c r="B23" s="209"/>
      <c r="C23" s="103" t="s">
        <v>5</v>
      </c>
      <c r="D23" s="96">
        <v>0</v>
      </c>
      <c r="E23" s="99">
        <f>VLOOKUP($C23,FROTA!$B$58:$G$63,6,0)*D23</f>
        <v>0</v>
      </c>
      <c r="F23" s="96">
        <v>0</v>
      </c>
      <c r="G23" s="99">
        <f>VLOOKUP($C23,FROTA!$B$58:$G$63,6,0)*F23</f>
        <v>0</v>
      </c>
      <c r="H23" s="96">
        <v>0</v>
      </c>
      <c r="I23" s="99">
        <f>VLOOKUP($C23,FROTA!$B$58:$G$63,6,0)*H23</f>
        <v>0</v>
      </c>
      <c r="J23" s="96">
        <v>0</v>
      </c>
      <c r="K23" s="99">
        <f>VLOOKUP($C23,FROTA!$B$58:$G$63,6,0)*J23</f>
        <v>0</v>
      </c>
      <c r="L23" s="96">
        <v>0</v>
      </c>
      <c r="M23" s="99">
        <f>VLOOKUP($C23,FROTA!$B$58:$G$63,6,0)*L23</f>
        <v>0</v>
      </c>
      <c r="N23" s="96">
        <v>0</v>
      </c>
      <c r="O23" s="99">
        <f>VLOOKUP($C23,FROTA!$B$58:$G$63,6,0)*N23</f>
        <v>0</v>
      </c>
    </row>
    <row r="24" spans="2:15" x14ac:dyDescent="0.25">
      <c r="B24" s="209"/>
      <c r="C24" s="103" t="s">
        <v>6</v>
      </c>
      <c r="D24" s="96">
        <v>0</v>
      </c>
      <c r="E24" s="99">
        <f>VLOOKUP($C24,FROTA!$B$58:$G$63,6,0)*D24</f>
        <v>0</v>
      </c>
      <c r="F24" s="96">
        <v>0</v>
      </c>
      <c r="G24" s="99">
        <f>VLOOKUP($C24,FROTA!$B$58:$G$63,6,0)*F24</f>
        <v>0</v>
      </c>
      <c r="H24" s="96">
        <v>0</v>
      </c>
      <c r="I24" s="99">
        <f>VLOOKUP($C24,FROTA!$B$58:$G$63,6,0)*H24</f>
        <v>0</v>
      </c>
      <c r="J24" s="96">
        <v>1</v>
      </c>
      <c r="K24" s="99">
        <f>VLOOKUP($C24,FROTA!$B$58:$G$63,6,0)*J24</f>
        <v>463.99894796028605</v>
      </c>
      <c r="L24" s="96">
        <v>0</v>
      </c>
      <c r="M24" s="99">
        <f>VLOOKUP($C24,FROTA!$B$58:$G$63,6,0)*L24</f>
        <v>0</v>
      </c>
      <c r="N24" s="96">
        <v>1</v>
      </c>
      <c r="O24" s="99">
        <f>VLOOKUP($C24,FROTA!$B$58:$G$63,6,0)*N24</f>
        <v>463.99894796028605</v>
      </c>
    </row>
    <row r="25" spans="2:15" x14ac:dyDescent="0.25">
      <c r="B25" s="209"/>
      <c r="C25" s="103" t="s">
        <v>7</v>
      </c>
      <c r="D25" s="96">
        <v>0</v>
      </c>
      <c r="E25" s="99">
        <f>VLOOKUP($C25,FROTA!$B$58:$G$63,6,0)*D25</f>
        <v>0</v>
      </c>
      <c r="F25" s="96">
        <v>0</v>
      </c>
      <c r="G25" s="99">
        <f>VLOOKUP($C25,FROTA!$B$58:$G$63,6,0)*F25</f>
        <v>0</v>
      </c>
      <c r="H25" s="96">
        <v>0</v>
      </c>
      <c r="I25" s="99">
        <f>VLOOKUP($C25,FROTA!$B$58:$G$63,6,0)*H25</f>
        <v>0</v>
      </c>
      <c r="J25" s="96">
        <v>0</v>
      </c>
      <c r="K25" s="99">
        <f>VLOOKUP($C25,FROTA!$B$58:$G$63,6,0)*J25</f>
        <v>0</v>
      </c>
      <c r="L25" s="96">
        <v>1</v>
      </c>
      <c r="M25" s="99">
        <f>VLOOKUP($C25,FROTA!$B$58:$G$63,6,0)*L25</f>
        <v>610.81957769621681</v>
      </c>
      <c r="N25" s="96">
        <v>0</v>
      </c>
      <c r="O25" s="99">
        <f>VLOOKUP($C25,FROTA!$B$58:$G$63,6,0)*N25</f>
        <v>0</v>
      </c>
    </row>
    <row r="26" spans="2:15" x14ac:dyDescent="0.25">
      <c r="B26" s="209"/>
      <c r="C26" s="103" t="s">
        <v>8</v>
      </c>
      <c r="D26" s="96">
        <v>0</v>
      </c>
      <c r="E26" s="99">
        <f>VLOOKUP($C26,FROTA!$B$58:$G$63,6,0)*D26</f>
        <v>0</v>
      </c>
      <c r="F26" s="96">
        <v>0</v>
      </c>
      <c r="G26" s="99">
        <f>VLOOKUP($C26,FROTA!$B$58:$G$63,6,0)*F26</f>
        <v>0</v>
      </c>
      <c r="H26" s="96">
        <v>0</v>
      </c>
      <c r="I26" s="99">
        <f>VLOOKUP($C26,FROTA!$B$58:$G$63,6,0)*H26</f>
        <v>0</v>
      </c>
      <c r="J26" s="96">
        <v>0</v>
      </c>
      <c r="K26" s="99">
        <f>VLOOKUP($C26,FROTA!$B$58:$G$63,6,0)*J26</f>
        <v>0</v>
      </c>
      <c r="L26" s="96">
        <v>0</v>
      </c>
      <c r="M26" s="99">
        <f>VLOOKUP($C26,FROTA!$B$58:$G$63,6,0)*L26</f>
        <v>0</v>
      </c>
      <c r="N26" s="96">
        <v>0</v>
      </c>
      <c r="O26" s="99">
        <f>VLOOKUP($C26,FROTA!$B$58:$G$63,6,0)*N26</f>
        <v>0</v>
      </c>
    </row>
    <row r="27" spans="2:15" x14ac:dyDescent="0.25">
      <c r="B27" s="208" t="s">
        <v>62</v>
      </c>
      <c r="C27" s="105" t="s">
        <v>3</v>
      </c>
      <c r="D27" s="96">
        <v>0</v>
      </c>
      <c r="E27" s="97">
        <f>VLOOKUP($C27,FROTA!$B$58:$G$63,6,0)*D27</f>
        <v>0</v>
      </c>
      <c r="F27" s="96">
        <v>0</v>
      </c>
      <c r="G27" s="97">
        <f>VLOOKUP($C27,FROTA!$B$58:$G$63,6,0)*F27</f>
        <v>0</v>
      </c>
      <c r="H27" s="96">
        <v>0</v>
      </c>
      <c r="I27" s="97">
        <f>VLOOKUP($C27,FROTA!$B$58:$G$63,6,0)*H27</f>
        <v>0</v>
      </c>
      <c r="J27" s="96">
        <v>0</v>
      </c>
      <c r="K27" s="97">
        <f>VLOOKUP($C27,FROTA!$B$58:$G$63,6,0)*J27</f>
        <v>0</v>
      </c>
      <c r="L27" s="96">
        <v>0</v>
      </c>
      <c r="M27" s="97">
        <f>VLOOKUP($C27,FROTA!$B$58:$G$63,6,0)*L27</f>
        <v>0</v>
      </c>
      <c r="N27" s="96">
        <v>0</v>
      </c>
      <c r="O27" s="97">
        <f>VLOOKUP($C27,FROTA!$B$58:$G$63,6,0)*N27</f>
        <v>0</v>
      </c>
    </row>
    <row r="28" spans="2:15" x14ac:dyDescent="0.25">
      <c r="B28" s="208"/>
      <c r="C28" s="105" t="s">
        <v>4</v>
      </c>
      <c r="D28" s="96">
        <v>0</v>
      </c>
      <c r="E28" s="97">
        <f>VLOOKUP($C28,FROTA!$B$58:$G$63,6,0)*D28</f>
        <v>0</v>
      </c>
      <c r="F28" s="96">
        <v>0</v>
      </c>
      <c r="G28" s="97">
        <f>VLOOKUP($C28,FROTA!$B$58:$G$63,6,0)*F28</f>
        <v>0</v>
      </c>
      <c r="H28" s="96">
        <v>0</v>
      </c>
      <c r="I28" s="97">
        <f>VLOOKUP($C28,FROTA!$B$58:$G$63,6,0)*H28</f>
        <v>0</v>
      </c>
      <c r="J28" s="96">
        <v>0</v>
      </c>
      <c r="K28" s="97">
        <f>VLOOKUP($C28,FROTA!$B$58:$G$63,6,0)*J28</f>
        <v>0</v>
      </c>
      <c r="L28" s="96">
        <v>0</v>
      </c>
      <c r="M28" s="97">
        <f>VLOOKUP($C28,FROTA!$B$58:$G$63,6,0)*L28</f>
        <v>0</v>
      </c>
      <c r="N28" s="96">
        <v>0</v>
      </c>
      <c r="O28" s="97">
        <f>VLOOKUP($C28,FROTA!$B$58:$G$63,6,0)*N28</f>
        <v>0</v>
      </c>
    </row>
    <row r="29" spans="2:15" x14ac:dyDescent="0.25">
      <c r="B29" s="208"/>
      <c r="C29" s="105" t="s">
        <v>5</v>
      </c>
      <c r="D29" s="96">
        <v>0</v>
      </c>
      <c r="E29" s="97">
        <f>VLOOKUP($C29,FROTA!$B$58:$G$63,6,0)*D29</f>
        <v>0</v>
      </c>
      <c r="F29" s="96">
        <v>0</v>
      </c>
      <c r="G29" s="97">
        <f>VLOOKUP($C29,FROTA!$B$58:$G$63,6,0)*F29</f>
        <v>0</v>
      </c>
      <c r="H29" s="96">
        <v>0</v>
      </c>
      <c r="I29" s="97">
        <f>VLOOKUP($C29,FROTA!$B$58:$G$63,6,0)*H29</f>
        <v>0</v>
      </c>
      <c r="J29" s="96">
        <v>0</v>
      </c>
      <c r="K29" s="97">
        <f>VLOOKUP($C29,FROTA!$B$58:$G$63,6,0)*J29</f>
        <v>0</v>
      </c>
      <c r="L29" s="96">
        <v>0</v>
      </c>
      <c r="M29" s="97">
        <f>VLOOKUP($C29,FROTA!$B$58:$G$63,6,0)*L29</f>
        <v>0</v>
      </c>
      <c r="N29" s="96">
        <v>0</v>
      </c>
      <c r="O29" s="97">
        <f>VLOOKUP($C29,FROTA!$B$58:$G$63,6,0)*N29</f>
        <v>0</v>
      </c>
    </row>
    <row r="30" spans="2:15" x14ac:dyDescent="0.25">
      <c r="B30" s="208"/>
      <c r="C30" s="105" t="s">
        <v>6</v>
      </c>
      <c r="D30" s="96">
        <v>0</v>
      </c>
      <c r="E30" s="97">
        <f>VLOOKUP($C30,FROTA!$B$58:$G$63,6,0)*D30</f>
        <v>0</v>
      </c>
      <c r="F30" s="96">
        <v>0</v>
      </c>
      <c r="G30" s="97">
        <f>VLOOKUP($C30,FROTA!$B$58:$G$63,6,0)*F30</f>
        <v>0</v>
      </c>
      <c r="H30" s="96">
        <v>0</v>
      </c>
      <c r="I30" s="97">
        <f>VLOOKUP($C30,FROTA!$B$58:$G$63,6,0)*H30</f>
        <v>0</v>
      </c>
      <c r="J30" s="96">
        <v>0</v>
      </c>
      <c r="K30" s="97">
        <f>VLOOKUP($C30,FROTA!$B$58:$G$63,6,0)*J30</f>
        <v>0</v>
      </c>
      <c r="L30" s="96">
        <v>0</v>
      </c>
      <c r="M30" s="97">
        <f>VLOOKUP($C30,FROTA!$B$58:$G$63,6,0)*L30</f>
        <v>0</v>
      </c>
      <c r="N30" s="96">
        <v>1</v>
      </c>
      <c r="O30" s="97">
        <f>VLOOKUP($C30,FROTA!$B$58:$G$63,6,0)*N30</f>
        <v>463.99894796028605</v>
      </c>
    </row>
    <row r="31" spans="2:15" x14ac:dyDescent="0.25">
      <c r="B31" s="208"/>
      <c r="C31" s="105" t="s">
        <v>7</v>
      </c>
      <c r="D31" s="96">
        <v>0</v>
      </c>
      <c r="E31" s="97">
        <f>VLOOKUP($C31,FROTA!$B$58:$G$63,6,0)*D31</f>
        <v>0</v>
      </c>
      <c r="F31" s="96">
        <v>0</v>
      </c>
      <c r="G31" s="97">
        <f>VLOOKUP($C31,FROTA!$B$58:$G$63,6,0)*F31</f>
        <v>0</v>
      </c>
      <c r="H31" s="96">
        <v>0</v>
      </c>
      <c r="I31" s="97">
        <f>VLOOKUP($C31,FROTA!$B$58:$G$63,6,0)*H31</f>
        <v>0</v>
      </c>
      <c r="J31" s="96">
        <v>0</v>
      </c>
      <c r="K31" s="97">
        <f>VLOOKUP($C31,FROTA!$B$58:$G$63,6,0)*J31</f>
        <v>0</v>
      </c>
      <c r="L31" s="96">
        <v>0</v>
      </c>
      <c r="M31" s="97">
        <f>VLOOKUP($C31,FROTA!$B$58:$G$63,6,0)*L31</f>
        <v>0</v>
      </c>
      <c r="N31" s="96">
        <v>0</v>
      </c>
      <c r="O31" s="97">
        <f>VLOOKUP($C31,FROTA!$B$58:$G$63,6,0)*N31</f>
        <v>0</v>
      </c>
    </row>
    <row r="32" spans="2:15" x14ac:dyDescent="0.25">
      <c r="B32" s="208"/>
      <c r="C32" s="105" t="s">
        <v>8</v>
      </c>
      <c r="D32" s="96">
        <v>0</v>
      </c>
      <c r="E32" s="97">
        <f>VLOOKUP($C32,FROTA!$B$58:$G$63,6,0)*D32</f>
        <v>0</v>
      </c>
      <c r="F32" s="96">
        <v>0</v>
      </c>
      <c r="G32" s="97">
        <f>VLOOKUP($C32,FROTA!$B$58:$G$63,6,0)*F32</f>
        <v>0</v>
      </c>
      <c r="H32" s="96">
        <v>0</v>
      </c>
      <c r="I32" s="97">
        <f>VLOOKUP($C32,FROTA!$B$58:$G$63,6,0)*H32</f>
        <v>0</v>
      </c>
      <c r="J32" s="96">
        <v>0</v>
      </c>
      <c r="K32" s="97">
        <f>VLOOKUP($C32,FROTA!$B$58:$G$63,6,0)*J32</f>
        <v>0</v>
      </c>
      <c r="L32" s="96">
        <v>0</v>
      </c>
      <c r="M32" s="97">
        <f>VLOOKUP($C32,FROTA!$B$58:$G$63,6,0)*L32</f>
        <v>0</v>
      </c>
      <c r="N32" s="96">
        <v>0</v>
      </c>
      <c r="O32" s="97">
        <f>VLOOKUP($C32,FROTA!$B$58:$G$63,6,0)*N32</f>
        <v>0</v>
      </c>
    </row>
    <row r="33" spans="2:15" x14ac:dyDescent="0.25">
      <c r="B33" s="103"/>
      <c r="C33" s="103"/>
      <c r="D33" s="103"/>
      <c r="E33" s="118">
        <f>SUM(E3:E32)</f>
        <v>482.98856237154155</v>
      </c>
      <c r="F33" s="116"/>
      <c r="G33" s="118">
        <f>SUM(G3:G32)</f>
        <v>816.32851019762847</v>
      </c>
      <c r="H33" s="116"/>
      <c r="I33" s="118">
        <f>SUM(I3:I32)</f>
        <v>888.46239578637301</v>
      </c>
      <c r="J33" s="116"/>
      <c r="K33" s="118">
        <f>SUM(K3:K32)</f>
        <v>1130.6788436124598</v>
      </c>
      <c r="L33" s="116"/>
      <c r="M33" s="118">
        <f>SUM(M3:M32)</f>
        <v>1459.7464733483907</v>
      </c>
      <c r="N33" s="116"/>
      <c r="O33" s="118">
        <f>SUM(O3:O32)</f>
        <v>1776.924791572746</v>
      </c>
    </row>
  </sheetData>
  <mergeCells count="11">
    <mergeCell ref="N2:O2"/>
    <mergeCell ref="D2:E2"/>
    <mergeCell ref="F2:G2"/>
    <mergeCell ref="H2:I2"/>
    <mergeCell ref="J2:K2"/>
    <mergeCell ref="L2:M2"/>
    <mergeCell ref="B27:B32"/>
    <mergeCell ref="B21:B26"/>
    <mergeCell ref="B15:B20"/>
    <mergeCell ref="B9:B14"/>
    <mergeCell ref="B3:B8"/>
  </mergeCells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10"/>
  <sheetViews>
    <sheetView showGridLines="0" workbookViewId="0">
      <selection activeCell="C16" sqref="C16"/>
    </sheetView>
  </sheetViews>
  <sheetFormatPr defaultRowHeight="15" x14ac:dyDescent="0.25"/>
  <cols>
    <col min="2" max="2" width="40.85546875" customWidth="1"/>
    <col min="3" max="3" width="10.140625" customWidth="1"/>
    <col min="4" max="4" width="5" bestFit="1" customWidth="1"/>
    <col min="5" max="5" width="8.28515625" bestFit="1" customWidth="1"/>
    <col min="6" max="6" width="5" bestFit="1" customWidth="1"/>
    <col min="7" max="7" width="8.28515625" bestFit="1" customWidth="1"/>
    <col min="8" max="8" width="5" bestFit="1" customWidth="1"/>
    <col min="9" max="9" width="8.28515625" bestFit="1" customWidth="1"/>
    <col min="10" max="10" width="5" bestFit="1" customWidth="1"/>
    <col min="11" max="11" width="8.28515625" bestFit="1" customWidth="1"/>
    <col min="12" max="12" width="5" bestFit="1" customWidth="1"/>
    <col min="13" max="13" width="8.28515625" bestFit="1" customWidth="1"/>
    <col min="14" max="14" width="5" bestFit="1" customWidth="1"/>
    <col min="15" max="15" width="8.28515625" bestFit="1" customWidth="1"/>
  </cols>
  <sheetData>
    <row r="2" spans="2:15" x14ac:dyDescent="0.25">
      <c r="B2" s="94" t="s">
        <v>118</v>
      </c>
      <c r="C2" s="94" t="s">
        <v>119</v>
      </c>
      <c r="D2" s="207">
        <v>15</v>
      </c>
      <c r="E2" s="207"/>
      <c r="F2" s="207">
        <v>30</v>
      </c>
      <c r="G2" s="207"/>
      <c r="H2" s="207">
        <v>45</v>
      </c>
      <c r="I2" s="207"/>
      <c r="J2" s="207">
        <v>60</v>
      </c>
      <c r="K2" s="207"/>
      <c r="L2" s="207">
        <v>75</v>
      </c>
      <c r="M2" s="207"/>
      <c r="N2" s="207">
        <v>90</v>
      </c>
      <c r="O2" s="207"/>
    </row>
    <row r="3" spans="2:15" x14ac:dyDescent="0.25">
      <c r="B3" s="209" t="s">
        <v>69</v>
      </c>
      <c r="C3" s="103" t="s">
        <v>3</v>
      </c>
      <c r="D3" s="96">
        <v>0</v>
      </c>
      <c r="E3" s="99">
        <f>VLOOKUP($C3,FROTA!$B$51:$G$56,6,0)*D3</f>
        <v>0</v>
      </c>
      <c r="F3" s="96">
        <v>0</v>
      </c>
      <c r="G3" s="99">
        <f>VLOOKUP($C3,FROTA!$B$51:$G$56,6,0)*F3</f>
        <v>0</v>
      </c>
      <c r="H3" s="96">
        <v>0</v>
      </c>
      <c r="I3" s="99">
        <f>VLOOKUP($C3,FROTA!$B$51:$G$56,6,0)*H3</f>
        <v>0</v>
      </c>
      <c r="J3" s="96">
        <v>0</v>
      </c>
      <c r="K3" s="99">
        <f>VLOOKUP($C3,FROTA!$B$51:$G$56,6,0)*J3</f>
        <v>0</v>
      </c>
      <c r="L3" s="96">
        <v>0</v>
      </c>
      <c r="M3" s="99">
        <f>VLOOKUP($C3,FROTA!$B$51:$G$56,6,0)*L3</f>
        <v>0</v>
      </c>
      <c r="N3" s="96">
        <v>0</v>
      </c>
      <c r="O3" s="99">
        <f>VLOOKUP($C3,FROTA!$B$51:$G$56,6,0)*N3</f>
        <v>0</v>
      </c>
    </row>
    <row r="4" spans="2:15" x14ac:dyDescent="0.25">
      <c r="B4" s="209"/>
      <c r="C4" s="103" t="s">
        <v>4</v>
      </c>
      <c r="D4" s="96">
        <v>1</v>
      </c>
      <c r="E4" s="99">
        <f>VLOOKUP($C4,FROTA!$B$51:$G$56,6,0)*D4</f>
        <v>1.4745200000000001</v>
      </c>
      <c r="F4" s="96">
        <v>0</v>
      </c>
      <c r="G4" s="99">
        <f>VLOOKUP($C4,FROTA!$B$51:$G$56,6,0)*F4</f>
        <v>0</v>
      </c>
      <c r="H4" s="96">
        <v>0</v>
      </c>
      <c r="I4" s="99">
        <f>VLOOKUP($C4,FROTA!$B$51:$G$56,6,0)*H4</f>
        <v>0</v>
      </c>
      <c r="J4" s="96">
        <v>0</v>
      </c>
      <c r="K4" s="99">
        <f>VLOOKUP($C4,FROTA!$B$51:$G$56,6,0)*J4</f>
        <v>0</v>
      </c>
      <c r="L4" s="96">
        <v>0</v>
      </c>
      <c r="M4" s="99">
        <f>VLOOKUP($C4,FROTA!$B$51:$G$56,6,0)*L4</f>
        <v>0</v>
      </c>
      <c r="N4" s="96">
        <v>0</v>
      </c>
      <c r="O4" s="99">
        <f>VLOOKUP($C4,FROTA!$B$51:$G$56,6,0)*N4</f>
        <v>0</v>
      </c>
    </row>
    <row r="5" spans="2:15" x14ac:dyDescent="0.25">
      <c r="B5" s="209"/>
      <c r="C5" s="103" t="s">
        <v>5</v>
      </c>
      <c r="D5" s="96">
        <v>0</v>
      </c>
      <c r="E5" s="99">
        <f>VLOOKUP($C5,FROTA!$B$51:$G$56,6,0)*D5</f>
        <v>0</v>
      </c>
      <c r="F5" s="96">
        <v>1</v>
      </c>
      <c r="G5" s="99">
        <f>VLOOKUP($C5,FROTA!$B$51:$G$56,6,0)*F5</f>
        <v>1.5851006999999999</v>
      </c>
      <c r="H5" s="96">
        <v>0</v>
      </c>
      <c r="I5" s="99">
        <f>VLOOKUP($C5,FROTA!$B$51:$G$56,6,0)*H5</f>
        <v>0</v>
      </c>
      <c r="J5" s="96">
        <v>0</v>
      </c>
      <c r="K5" s="99">
        <f>VLOOKUP($C5,FROTA!$B$51:$G$56,6,0)*J5</f>
        <v>0</v>
      </c>
      <c r="L5" s="96">
        <v>0</v>
      </c>
      <c r="M5" s="99">
        <f>VLOOKUP($C5,FROTA!$B$51:$G$56,6,0)*L5</f>
        <v>0</v>
      </c>
      <c r="N5" s="96">
        <v>0</v>
      </c>
      <c r="O5" s="99">
        <f>VLOOKUP($C5,FROTA!$B$51:$G$56,6,0)*N5</f>
        <v>0</v>
      </c>
    </row>
    <row r="6" spans="2:15" x14ac:dyDescent="0.25">
      <c r="B6" s="209"/>
      <c r="C6" s="103" t="s">
        <v>6</v>
      </c>
      <c r="D6" s="96">
        <v>0</v>
      </c>
      <c r="E6" s="99">
        <f>VLOOKUP($C6,FROTA!$B$51:$G$56,6,0)*D6</f>
        <v>0</v>
      </c>
      <c r="F6" s="96">
        <v>0</v>
      </c>
      <c r="G6" s="99">
        <f>VLOOKUP($C6,FROTA!$B$51:$G$56,6,0)*F6</f>
        <v>0</v>
      </c>
      <c r="H6" s="96">
        <v>1</v>
      </c>
      <c r="I6" s="99">
        <f>VLOOKUP($C6,FROTA!$B$51:$G$56,6,0)*H6</f>
        <v>1.836781139047619</v>
      </c>
      <c r="J6" s="96">
        <v>1</v>
      </c>
      <c r="K6" s="99">
        <f>VLOOKUP($C6,FROTA!$B$51:$G$56,6,0)*J6</f>
        <v>1.836781139047619</v>
      </c>
      <c r="L6" s="96">
        <v>0</v>
      </c>
      <c r="M6" s="99">
        <f>VLOOKUP($C6,FROTA!$B$51:$G$56,6,0)*L6</f>
        <v>0</v>
      </c>
      <c r="N6" s="96">
        <v>0</v>
      </c>
      <c r="O6" s="99">
        <f>VLOOKUP($C6,FROTA!$B$51:$G$56,6,0)*N6</f>
        <v>0</v>
      </c>
    </row>
    <row r="7" spans="2:15" x14ac:dyDescent="0.25">
      <c r="B7" s="209"/>
      <c r="C7" s="103" t="s">
        <v>7</v>
      </c>
      <c r="D7" s="96">
        <v>0</v>
      </c>
      <c r="E7" s="99">
        <f>VLOOKUP($C7,FROTA!$B$51:$G$56,6,0)*D7</f>
        <v>0</v>
      </c>
      <c r="F7" s="96">
        <v>0</v>
      </c>
      <c r="G7" s="99">
        <f>VLOOKUP($C7,FROTA!$B$51:$G$56,6,0)*F7</f>
        <v>0</v>
      </c>
      <c r="H7" s="96">
        <v>0</v>
      </c>
      <c r="I7" s="99">
        <f>VLOOKUP($C7,FROTA!$B$51:$G$56,6,0)*H7</f>
        <v>0</v>
      </c>
      <c r="J7" s="96">
        <v>0</v>
      </c>
      <c r="K7" s="99">
        <f>VLOOKUP($C7,FROTA!$B$51:$G$56,6,0)*J7</f>
        <v>0</v>
      </c>
      <c r="L7" s="96">
        <v>1</v>
      </c>
      <c r="M7" s="99">
        <f>VLOOKUP($C7,FROTA!$B$51:$G$56,6,0)*L7</f>
        <v>2.1970971428571429</v>
      </c>
      <c r="N7" s="96">
        <v>0</v>
      </c>
      <c r="O7" s="99">
        <f>VLOOKUP($C7,FROTA!$B$51:$G$56,6,0)*N7</f>
        <v>0</v>
      </c>
    </row>
    <row r="8" spans="2:15" x14ac:dyDescent="0.25">
      <c r="B8" s="209"/>
      <c r="C8" s="103" t="s">
        <v>8</v>
      </c>
      <c r="D8" s="96">
        <v>0</v>
      </c>
      <c r="E8" s="99">
        <f>VLOOKUP($C8,FROTA!$B$51:$G$56,6,0)*D8</f>
        <v>0</v>
      </c>
      <c r="F8" s="96">
        <v>0</v>
      </c>
      <c r="G8" s="99">
        <f>VLOOKUP($C8,FROTA!$B$51:$G$56,6,0)*F8</f>
        <v>0</v>
      </c>
      <c r="H8" s="96">
        <v>0</v>
      </c>
      <c r="I8" s="99">
        <f>VLOOKUP($C8,FROTA!$B$51:$G$56,6,0)*H8</f>
        <v>0</v>
      </c>
      <c r="J8" s="96">
        <v>0</v>
      </c>
      <c r="K8" s="99">
        <f>VLOOKUP($C8,FROTA!$B$51:$G$56,6,0)*J8</f>
        <v>0</v>
      </c>
      <c r="L8" s="96">
        <v>0</v>
      </c>
      <c r="M8" s="99">
        <f>VLOOKUP($C8,FROTA!$B$51:$G$56,6,0)*L8</f>
        <v>0</v>
      </c>
      <c r="N8" s="96">
        <v>1</v>
      </c>
      <c r="O8" s="99">
        <f>VLOOKUP($C8,FROTA!$B$51:$G$56,6,0)*N8</f>
        <v>2.5097546666666668</v>
      </c>
    </row>
    <row r="9" spans="2:15" x14ac:dyDescent="0.25">
      <c r="B9" s="109"/>
      <c r="C9" s="109"/>
      <c r="D9" s="109"/>
      <c r="E9" s="110">
        <f>SUM(E3:E8)</f>
        <v>1.4745200000000001</v>
      </c>
      <c r="F9" s="111"/>
      <c r="G9" s="110">
        <f>SUM(G3:G8)</f>
        <v>1.5851006999999999</v>
      </c>
      <c r="H9" s="111"/>
      <c r="I9" s="110">
        <f>SUM(I3:I8)</f>
        <v>1.836781139047619</v>
      </c>
      <c r="J9" s="111"/>
      <c r="K9" s="110">
        <f>SUM(K3:K8)</f>
        <v>1.836781139047619</v>
      </c>
      <c r="L9" s="111"/>
      <c r="M9" s="110">
        <f>SUM(M3:M8)</f>
        <v>2.1970971428571429</v>
      </c>
      <c r="N9" s="111"/>
      <c r="O9" s="110">
        <f>SUM(O3:O8)</f>
        <v>2.5097546666666668</v>
      </c>
    </row>
    <row r="10" spans="2:15" x14ac:dyDescent="0.25">
      <c r="B10" s="12" t="s">
        <v>120</v>
      </c>
    </row>
  </sheetData>
  <mergeCells count="7">
    <mergeCell ref="L2:M2"/>
    <mergeCell ref="N2:O2"/>
    <mergeCell ref="B3:B8"/>
    <mergeCell ref="D2:E2"/>
    <mergeCell ref="F2:G2"/>
    <mergeCell ref="H2:I2"/>
    <mergeCell ref="J2:K2"/>
  </mergeCells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10"/>
  <sheetViews>
    <sheetView showGridLines="0" workbookViewId="0">
      <selection activeCell="B17" sqref="B17"/>
    </sheetView>
  </sheetViews>
  <sheetFormatPr defaultColWidth="11" defaultRowHeight="15" x14ac:dyDescent="0.25"/>
  <cols>
    <col min="1" max="1" width="5.28515625" customWidth="1"/>
    <col min="2" max="2" width="43" customWidth="1"/>
    <col min="3" max="3" width="9" bestFit="1" customWidth="1"/>
    <col min="4" max="4" width="5" bestFit="1" customWidth="1"/>
    <col min="5" max="5" width="10.28515625" bestFit="1" customWidth="1"/>
    <col min="6" max="6" width="5" bestFit="1" customWidth="1"/>
    <col min="7" max="7" width="10.28515625" bestFit="1" customWidth="1"/>
    <col min="8" max="8" width="5" bestFit="1" customWidth="1"/>
    <col min="9" max="9" width="10.28515625" bestFit="1" customWidth="1"/>
    <col min="10" max="10" width="5" bestFit="1" customWidth="1"/>
    <col min="11" max="11" width="10.28515625" bestFit="1" customWidth="1"/>
    <col min="12" max="12" width="5" bestFit="1" customWidth="1"/>
    <col min="13" max="13" width="10.28515625" bestFit="1" customWidth="1"/>
    <col min="14" max="14" width="5" bestFit="1" customWidth="1"/>
    <col min="15" max="15" width="10.28515625" bestFit="1" customWidth="1"/>
  </cols>
  <sheetData>
    <row r="2" spans="2:15" s="67" customFormat="1" x14ac:dyDescent="0.25">
      <c r="B2" s="94" t="s">
        <v>118</v>
      </c>
      <c r="C2" s="94" t="s">
        <v>119</v>
      </c>
      <c r="D2" s="207">
        <v>15</v>
      </c>
      <c r="E2" s="207"/>
      <c r="F2" s="207">
        <v>30</v>
      </c>
      <c r="G2" s="207"/>
      <c r="H2" s="207">
        <v>45</v>
      </c>
      <c r="I2" s="207"/>
      <c r="J2" s="207">
        <v>60</v>
      </c>
      <c r="K2" s="207"/>
      <c r="L2" s="207">
        <v>75</v>
      </c>
      <c r="M2" s="207"/>
      <c r="N2" s="207">
        <v>90</v>
      </c>
      <c r="O2" s="207"/>
    </row>
    <row r="3" spans="2:15" x14ac:dyDescent="0.25">
      <c r="B3" s="209" t="s">
        <v>69</v>
      </c>
      <c r="C3" s="103" t="s">
        <v>3</v>
      </c>
      <c r="D3" s="96">
        <v>0</v>
      </c>
      <c r="E3" s="99">
        <f>(VLOOKUP($C3,FROTA!$B$44:$G$49,6,0)+FROTA!$G$42)*D3</f>
        <v>0</v>
      </c>
      <c r="F3" s="96">
        <v>0</v>
      </c>
      <c r="G3" s="99">
        <f>(VLOOKUP($C3,FROTA!$B$44:$G$49,6,0)+FROTA!$G$42)*F3</f>
        <v>0</v>
      </c>
      <c r="H3" s="96">
        <v>0</v>
      </c>
      <c r="I3" s="99">
        <f>(VLOOKUP($C3,FROTA!$B$44:$G$49,6,0)+FROTA!$G$42)*H3</f>
        <v>0</v>
      </c>
      <c r="J3" s="96">
        <v>0</v>
      </c>
      <c r="K3" s="99">
        <f>(VLOOKUP($C3,FROTA!$B$44:$G$49,6,0)+FROTA!$G$42)*J3</f>
        <v>0</v>
      </c>
      <c r="L3" s="96">
        <v>0</v>
      </c>
      <c r="M3" s="99">
        <f>(VLOOKUP($C3,FROTA!$B$44:$G$49,6,0)+FROTA!$G$42)*L3</f>
        <v>0</v>
      </c>
      <c r="N3" s="96">
        <v>0</v>
      </c>
      <c r="O3" s="99">
        <f>(VLOOKUP($C3,FROTA!$B$44:$G$49,6,0)+FROTA!$G$42)*N3</f>
        <v>0</v>
      </c>
    </row>
    <row r="4" spans="2:15" x14ac:dyDescent="0.25">
      <c r="B4" s="209"/>
      <c r="C4" s="103" t="s">
        <v>4</v>
      </c>
      <c r="D4" s="96">
        <v>1</v>
      </c>
      <c r="E4" s="99">
        <f>(VLOOKUP($C4,FROTA!$B$44:$G$49,6,0)+FROTA!$G$42)*D4</f>
        <v>435.73744782608696</v>
      </c>
      <c r="F4" s="96">
        <v>0</v>
      </c>
      <c r="G4" s="99">
        <f>(VLOOKUP($C4,FROTA!$B$44:$G$49,6,0)+FROTA!$G$42)*F4</f>
        <v>0</v>
      </c>
      <c r="H4" s="96">
        <v>0</v>
      </c>
      <c r="I4" s="99">
        <f>(VLOOKUP($C4,FROTA!$B$44:$G$49,6,0)+FROTA!$G$42)*H4</f>
        <v>0</v>
      </c>
      <c r="J4" s="96">
        <v>0</v>
      </c>
      <c r="K4" s="99">
        <f>(VLOOKUP($C4,FROTA!$B$44:$G$49,6,0)+FROTA!$G$42)*J4</f>
        <v>0</v>
      </c>
      <c r="L4" s="96">
        <v>0</v>
      </c>
      <c r="M4" s="99">
        <f>(VLOOKUP($C4,FROTA!$B$44:$G$49,6,0)+FROTA!$G$42)*L4</f>
        <v>0</v>
      </c>
      <c r="N4" s="96">
        <v>0</v>
      </c>
      <c r="O4" s="99">
        <f>(VLOOKUP($C4,FROTA!$B$44:$G$49,6,0)+FROTA!$G$42)*N4</f>
        <v>0</v>
      </c>
    </row>
    <row r="5" spans="2:15" x14ac:dyDescent="0.25">
      <c r="B5" s="209"/>
      <c r="C5" s="103" t="s">
        <v>5</v>
      </c>
      <c r="D5" s="96">
        <v>0</v>
      </c>
      <c r="E5" s="99">
        <f>(VLOOKUP($C5,FROTA!$B$44:$G$49,6,0)+FROTA!$G$42)*D5</f>
        <v>0</v>
      </c>
      <c r="F5" s="96">
        <v>1</v>
      </c>
      <c r="G5" s="99">
        <f>(VLOOKUP($C5,FROTA!$B$44:$G$49,6,0)+FROTA!$G$42)*F5</f>
        <v>488.73352737154153</v>
      </c>
      <c r="H5" s="96">
        <v>0</v>
      </c>
      <c r="I5" s="99">
        <f>(VLOOKUP($C5,FROTA!$B$44:$G$49,6,0)+FROTA!$G$42)*H5</f>
        <v>0</v>
      </c>
      <c r="J5" s="96">
        <v>0</v>
      </c>
      <c r="K5" s="99">
        <f>(VLOOKUP($C5,FROTA!$B$44:$G$49,6,0)+FROTA!$G$42)*J5</f>
        <v>0</v>
      </c>
      <c r="L5" s="96">
        <v>0</v>
      </c>
      <c r="M5" s="99">
        <f>(VLOOKUP($C5,FROTA!$B$44:$G$49,6,0)+FROTA!$G$42)*L5</f>
        <v>0</v>
      </c>
      <c r="N5" s="96">
        <v>0</v>
      </c>
      <c r="O5" s="99">
        <f>(VLOOKUP($C5,FROTA!$B$44:$G$49,6,0)+FROTA!$G$42)*N5</f>
        <v>0</v>
      </c>
    </row>
    <row r="6" spans="2:15" x14ac:dyDescent="0.25">
      <c r="B6" s="209"/>
      <c r="C6" s="103" t="s">
        <v>6</v>
      </c>
      <c r="D6" s="96">
        <v>0</v>
      </c>
      <c r="E6" s="99">
        <f>(VLOOKUP($C6,FROTA!$B$44:$G$49,6,0)+FROTA!$G$42)*D6</f>
        <v>0</v>
      </c>
      <c r="F6" s="96">
        <v>0</v>
      </c>
      <c r="G6" s="99">
        <f>(VLOOKUP($C6,FROTA!$B$44:$G$49,6,0)+FROTA!$G$42)*F6</f>
        <v>0</v>
      </c>
      <c r="H6" s="96">
        <v>1</v>
      </c>
      <c r="I6" s="99">
        <f>(VLOOKUP($C6,FROTA!$B$44:$G$49,6,0)+FROTA!$G$42)*H6</f>
        <v>457.15989100790512</v>
      </c>
      <c r="J6" s="96">
        <v>1</v>
      </c>
      <c r="K6" s="99">
        <f>(VLOOKUP($C6,FROTA!$B$44:$G$49,6,0)+FROTA!$G$42)*J6</f>
        <v>457.15989100790512</v>
      </c>
      <c r="L6" s="96">
        <v>0</v>
      </c>
      <c r="M6" s="99">
        <f>(VLOOKUP($C6,FROTA!$B$44:$G$49,6,0)+FROTA!$G$42)*L6</f>
        <v>0</v>
      </c>
      <c r="N6" s="96">
        <v>0</v>
      </c>
      <c r="O6" s="99">
        <f>(VLOOKUP($C6,FROTA!$B$44:$G$49,6,0)+FROTA!$G$42)*N6</f>
        <v>0</v>
      </c>
    </row>
    <row r="7" spans="2:15" x14ac:dyDescent="0.25">
      <c r="B7" s="209"/>
      <c r="C7" s="103" t="s">
        <v>7</v>
      </c>
      <c r="D7" s="96">
        <v>0</v>
      </c>
      <c r="E7" s="99">
        <f>(VLOOKUP($C7,FROTA!$B$44:$G$49,6,0)+FROTA!$G$42)*D7</f>
        <v>0</v>
      </c>
      <c r="F7" s="96">
        <v>0</v>
      </c>
      <c r="G7" s="99">
        <f>(VLOOKUP($C7,FROTA!$B$44:$G$49,6,0)+FROTA!$G$42)*F7</f>
        <v>0</v>
      </c>
      <c r="H7" s="96">
        <v>0</v>
      </c>
      <c r="I7" s="99">
        <f>(VLOOKUP($C7,FROTA!$B$44:$G$49,6,0)+FROTA!$G$42)*H7</f>
        <v>0</v>
      </c>
      <c r="J7" s="96">
        <v>0</v>
      </c>
      <c r="K7" s="99">
        <f>(VLOOKUP($C7,FROTA!$B$44:$G$49,6,0)+FROTA!$G$42)*J7</f>
        <v>0</v>
      </c>
      <c r="L7" s="96">
        <v>1</v>
      </c>
      <c r="M7" s="99">
        <f>(VLOOKUP($C7,FROTA!$B$44:$G$49,6,0)+FROTA!$G$42)*L7</f>
        <v>585.96472055335971</v>
      </c>
      <c r="N7" s="96">
        <v>0</v>
      </c>
      <c r="O7" s="99">
        <f>(VLOOKUP($C7,FROTA!$B$44:$G$49,6,0)+FROTA!$G$42)*N7</f>
        <v>0</v>
      </c>
    </row>
    <row r="8" spans="2:15" x14ac:dyDescent="0.25">
      <c r="B8" s="209"/>
      <c r="C8" s="103" t="s">
        <v>8</v>
      </c>
      <c r="D8" s="96">
        <v>0</v>
      </c>
      <c r="E8" s="99">
        <f>(VLOOKUP($C8,FROTA!$B$44:$G$49,6,0)+FROTA!$G$42)*D8</f>
        <v>0</v>
      </c>
      <c r="F8" s="96">
        <v>0</v>
      </c>
      <c r="G8" s="99">
        <f>(VLOOKUP($C8,FROTA!$B$44:$G$49,6,0)+FROTA!$G$42)*F8</f>
        <v>0</v>
      </c>
      <c r="H8" s="96">
        <v>0</v>
      </c>
      <c r="I8" s="99">
        <f>(VLOOKUP($C8,FROTA!$B$44:$G$49,6,0)+FROTA!$G$42)*H8</f>
        <v>0</v>
      </c>
      <c r="J8" s="96">
        <v>0</v>
      </c>
      <c r="K8" s="99">
        <f>(VLOOKUP($C8,FROTA!$B$44:$G$49,6,0)+FROTA!$G$42)*J8</f>
        <v>0</v>
      </c>
      <c r="L8" s="96">
        <v>0</v>
      </c>
      <c r="M8" s="99">
        <f>(VLOOKUP($C8,FROTA!$B$44:$G$49,6,0)+FROTA!$G$42)*L8</f>
        <v>0</v>
      </c>
      <c r="N8" s="96">
        <v>1</v>
      </c>
      <c r="O8" s="99">
        <f>(VLOOKUP($C8,FROTA!$B$44:$G$49,6,0)+FROTA!$G$42)*N8</f>
        <v>593.63517509881422</v>
      </c>
    </row>
    <row r="9" spans="2:15" x14ac:dyDescent="0.25">
      <c r="B9" s="109"/>
      <c r="C9" s="109"/>
      <c r="D9" s="109"/>
      <c r="E9" s="110">
        <f>SUM(E3:E8)</f>
        <v>435.73744782608696</v>
      </c>
      <c r="F9" s="111"/>
      <c r="G9" s="110">
        <f>SUM(G3:G8)</f>
        <v>488.73352737154153</v>
      </c>
      <c r="H9" s="111"/>
      <c r="I9" s="110">
        <f>SUM(I3:I8)</f>
        <v>457.15989100790512</v>
      </c>
      <c r="J9" s="111"/>
      <c r="K9" s="110">
        <f>SUM(K3:K8)</f>
        <v>457.15989100790512</v>
      </c>
      <c r="L9" s="111"/>
      <c r="M9" s="110">
        <f>SUM(M3:M8)</f>
        <v>585.96472055335971</v>
      </c>
      <c r="N9" s="111"/>
      <c r="O9" s="110">
        <f>SUM(O3:O8)</f>
        <v>593.63517509881422</v>
      </c>
    </row>
    <row r="10" spans="2:15" x14ac:dyDescent="0.25">
      <c r="B10" s="12" t="s">
        <v>121</v>
      </c>
    </row>
  </sheetData>
  <mergeCells count="7">
    <mergeCell ref="L2:M2"/>
    <mergeCell ref="N2:O2"/>
    <mergeCell ref="B3:B8"/>
    <mergeCell ref="D2:E2"/>
    <mergeCell ref="F2:G2"/>
    <mergeCell ref="H2:I2"/>
    <mergeCell ref="J2:K2"/>
  </mergeCells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4"/>
  <sheetViews>
    <sheetView showGridLines="0" workbookViewId="0">
      <selection activeCell="P16" sqref="P16"/>
    </sheetView>
  </sheetViews>
  <sheetFormatPr defaultRowHeight="15" x14ac:dyDescent="0.25"/>
  <cols>
    <col min="1" max="1" width="4.28515625" customWidth="1"/>
    <col min="2" max="2" width="14.85546875" customWidth="1"/>
    <col min="3" max="3" width="11.140625" customWidth="1"/>
    <col min="4" max="4" width="5" bestFit="1" customWidth="1"/>
    <col min="5" max="5" width="10.28515625" bestFit="1" customWidth="1"/>
    <col min="6" max="6" width="5" bestFit="1" customWidth="1"/>
    <col min="7" max="7" width="10.28515625" bestFit="1" customWidth="1"/>
    <col min="8" max="8" width="5" bestFit="1" customWidth="1"/>
    <col min="9" max="9" width="10.28515625" bestFit="1" customWidth="1"/>
    <col min="10" max="10" width="5" bestFit="1" customWidth="1"/>
    <col min="11" max="11" width="10.28515625" bestFit="1" customWidth="1"/>
    <col min="12" max="12" width="5" bestFit="1" customWidth="1"/>
    <col min="13" max="13" width="10.28515625" bestFit="1" customWidth="1"/>
    <col min="14" max="14" width="5" bestFit="1" customWidth="1"/>
    <col min="15" max="15" width="11.85546875" bestFit="1" customWidth="1"/>
  </cols>
  <sheetData>
    <row r="1" spans="2:15" ht="14.25" customHeight="1" x14ac:dyDescent="0.25"/>
    <row r="2" spans="2:15" x14ac:dyDescent="0.25">
      <c r="B2" s="92" t="s">
        <v>55</v>
      </c>
      <c r="C2" s="92" t="s">
        <v>19</v>
      </c>
      <c r="D2" s="210">
        <v>15</v>
      </c>
      <c r="E2" s="210"/>
      <c r="F2" s="210">
        <v>30</v>
      </c>
      <c r="G2" s="210"/>
      <c r="H2" s="210">
        <v>45</v>
      </c>
      <c r="I2" s="210"/>
      <c r="J2" s="210">
        <v>60</v>
      </c>
      <c r="K2" s="210"/>
      <c r="L2" s="210">
        <v>75</v>
      </c>
      <c r="M2" s="210"/>
      <c r="N2" s="210">
        <v>90</v>
      </c>
      <c r="O2" s="210"/>
    </row>
    <row r="3" spans="2:15" x14ac:dyDescent="0.25">
      <c r="B3" s="119" t="s">
        <v>63</v>
      </c>
      <c r="C3" s="119" t="s">
        <v>70</v>
      </c>
      <c r="D3" s="120">
        <v>1</v>
      </c>
      <c r="E3" s="93">
        <f>'EQUIPE DE ENTREGA'!D4*D3</f>
        <v>320</v>
      </c>
      <c r="F3" s="120">
        <v>1</v>
      </c>
      <c r="G3" s="93">
        <f>'EQUIPE DE ENTREGA'!D5*F3</f>
        <v>480</v>
      </c>
      <c r="H3" s="120">
        <v>1</v>
      </c>
      <c r="I3" s="93">
        <f>'EQUIPE DE ENTREGA'!D6*H3</f>
        <v>640</v>
      </c>
      <c r="J3" s="120">
        <v>1</v>
      </c>
      <c r="K3" s="93">
        <f>'EQUIPE DE ENTREGA'!D7*J3</f>
        <v>800</v>
      </c>
      <c r="L3" s="120">
        <v>1</v>
      </c>
      <c r="M3" s="93">
        <f>'EQUIPE DE ENTREGA'!D8*L3</f>
        <v>960</v>
      </c>
      <c r="N3" s="120">
        <v>1</v>
      </c>
      <c r="O3" s="93">
        <f>'EQUIPE DE ENTREGA'!D9*N3</f>
        <v>1120</v>
      </c>
    </row>
    <row r="4" spans="2:15" x14ac:dyDescent="0.25">
      <c r="B4" s="121"/>
      <c r="C4" s="121"/>
      <c r="D4" s="121"/>
      <c r="E4" s="122">
        <f>SUM(E3)</f>
        <v>320</v>
      </c>
      <c r="F4" s="123"/>
      <c r="G4" s="122">
        <f>SUM(G3)</f>
        <v>480</v>
      </c>
      <c r="H4" s="123"/>
      <c r="I4" s="122">
        <f>SUM(I3)</f>
        <v>640</v>
      </c>
      <c r="J4" s="123"/>
      <c r="K4" s="122">
        <f>SUM(K3)</f>
        <v>800</v>
      </c>
      <c r="L4" s="123"/>
      <c r="M4" s="122">
        <f>SUM(M3)</f>
        <v>960</v>
      </c>
      <c r="N4" s="123"/>
      <c r="O4" s="122">
        <f>SUM(O3)</f>
        <v>1120</v>
      </c>
    </row>
  </sheetData>
  <mergeCells count="6">
    <mergeCell ref="N2:O2"/>
    <mergeCell ref="D2:E2"/>
    <mergeCell ref="F2:G2"/>
    <mergeCell ref="H2:I2"/>
    <mergeCell ref="J2:K2"/>
    <mergeCell ref="L2:M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16</vt:i4>
      </vt:variant>
      <vt:variant>
        <vt:lpstr>Intervalos nomeados</vt:lpstr>
      </vt:variant>
      <vt:variant>
        <vt:i4>3</vt:i4>
      </vt:variant>
    </vt:vector>
  </HeadingPairs>
  <TitlesOfParts>
    <vt:vector size="19" baseType="lpstr">
      <vt:lpstr>TABELA DIRETA</vt:lpstr>
      <vt:lpstr>TABELA APROVEITAMENTO</vt:lpstr>
      <vt:lpstr>GENERALIDADES</vt:lpstr>
      <vt:lpstr>EMBALAGEM</vt:lpstr>
      <vt:lpstr>TX E MARKUP</vt:lpstr>
      <vt:lpstr>FROTA</vt:lpstr>
      <vt:lpstr>RECURSOS</vt:lpstr>
      <vt:lpstr>FOLHA DE PAGAMENTO</vt:lpstr>
      <vt:lpstr>EQUIPE DE ENTREGA</vt:lpstr>
      <vt:lpstr>LOCAL_EQUIPE</vt:lpstr>
      <vt:lpstr>LOCAL_VEÍCULO</vt:lpstr>
      <vt:lpstr>INTER_EQUIPE</vt:lpstr>
      <vt:lpstr>INTER_VEÍCULO</vt:lpstr>
      <vt:lpstr>CUSTO KM_VEÍCULO</vt:lpstr>
      <vt:lpstr>HORA PARADA_VEÍCULO</vt:lpstr>
      <vt:lpstr>ENTREGA</vt:lpstr>
      <vt:lpstr>EMBALAGEM!Area_de_impressao</vt:lpstr>
      <vt:lpstr>'TABELA APROVEITAMENTO'!Area_de_impressao</vt:lpstr>
      <vt:lpstr>'TABELA DIRETA'!Area_de_impressao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</dc:creator>
  <cp:lastModifiedBy>Raquel Serini</cp:lastModifiedBy>
  <cp:lastPrinted>2023-07-12T00:01:37Z</cp:lastPrinted>
  <dcterms:created xsi:type="dcterms:W3CDTF">2020-05-18T16:05:20Z</dcterms:created>
  <dcterms:modified xsi:type="dcterms:W3CDTF">2026-04-16T19:17:08Z</dcterms:modified>
</cp:coreProperties>
</file>